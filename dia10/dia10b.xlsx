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ebria/Desktop/P.A.R.A./Proyectos/AOCode/dia10/"/>
    </mc:Choice>
  </mc:AlternateContent>
  <xr:revisionPtr revIDLastSave="0" documentId="13_ncr:1_{A702D7E8-484E-FA40-9367-BE3638ECEC0A}" xr6:coauthVersionLast="47" xr6:coauthVersionMax="47" xr10:uidLastSave="{00000000-0000-0000-0000-000000000000}"/>
  <bookViews>
    <workbookView xWindow="1420" yWindow="680" windowWidth="27980" windowHeight="17240" activeTab="2" xr2:uid="{51E9C726-2E93-8149-9160-EA67953DCBC8}"/>
  </bookViews>
  <sheets>
    <sheet name="Hoja1" sheetId="1" r:id="rId1"/>
    <sheet name="Maquinas" sheetId="3" r:id="rId2"/>
    <sheet name="Solucion" sheetId="4" r:id="rId3"/>
    <sheet name="Hoja2" sheetId="2" r:id="rId4"/>
  </sheets>
  <definedNames>
    <definedName name="input" localSheetId="0">Hoja1!$A$1:$C$153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4" l="1" a="1"/>
  <c r="U10" i="4" s="1"/>
  <c r="S19" i="4"/>
  <c r="R18" i="4"/>
  <c r="R17" i="4"/>
  <c r="R16" i="4"/>
  <c r="R15" i="4"/>
  <c r="R14" i="4"/>
  <c r="R13" i="4"/>
  <c r="R12" i="4"/>
  <c r="S15" i="4"/>
  <c r="S16" i="4"/>
  <c r="S23" i="4"/>
  <c r="S27" i="4"/>
  <c r="S17" i="4"/>
  <c r="S25" i="4"/>
  <c r="R11" i="4"/>
  <c r="R10" i="4"/>
  <c r="Q11" i="4"/>
  <c r="Q12" i="4"/>
  <c r="Q13" i="4"/>
  <c r="Q14" i="4"/>
  <c r="T14" i="4" s="1" a="1"/>
  <c r="T14" i="4" s="1"/>
  <c r="Q15" i="4"/>
  <c r="T15" i="4" s="1" a="1"/>
  <c r="T15" i="4" s="1"/>
  <c r="Q16" i="4"/>
  <c r="T16" i="4" s="1" a="1"/>
  <c r="T16" i="4" s="1"/>
  <c r="Q17" i="4"/>
  <c r="T17" i="4" s="1" a="1"/>
  <c r="T17" i="4" s="1"/>
  <c r="Q18" i="4"/>
  <c r="T18" i="4" s="1" a="1"/>
  <c r="T18" i="4" s="1"/>
  <c r="Q19" i="4"/>
  <c r="Q20" i="4"/>
  <c r="Q21" i="4"/>
  <c r="Q22" i="4"/>
  <c r="T22" i="4" s="1" a="1"/>
  <c r="T22" i="4" s="1"/>
  <c r="Q23" i="4"/>
  <c r="T23" i="4" s="1" a="1"/>
  <c r="T23" i="4" s="1"/>
  <c r="Q24" i="4"/>
  <c r="T24" i="4" s="1" a="1"/>
  <c r="T24" i="4" s="1"/>
  <c r="Q25" i="4"/>
  <c r="T25" i="4" s="1" a="1"/>
  <c r="T25" i="4" s="1"/>
  <c r="Q26" i="4"/>
  <c r="T26" i="4" s="1" a="1"/>
  <c r="T26" i="4" s="1"/>
  <c r="Q27" i="4"/>
  <c r="Q28" i="4"/>
  <c r="Q29" i="4"/>
  <c r="Q10" i="4"/>
  <c r="T10" i="4" a="1"/>
  <c r="T10" i="4" s="1"/>
  <c r="T11" i="4" a="1"/>
  <c r="T11" i="4" s="1"/>
  <c r="T12" i="4" a="1"/>
  <c r="T12" i="4" s="1"/>
  <c r="T13" i="4" a="1"/>
  <c r="T13" i="4" s="1"/>
  <c r="T19" i="4" a="1"/>
  <c r="T19" i="4" s="1"/>
  <c r="T20" i="4" a="1"/>
  <c r="T20" i="4" s="1"/>
  <c r="T21" i="4" a="1"/>
  <c r="T21" i="4" s="1"/>
  <c r="T27" i="4" a="1"/>
  <c r="T27" i="4" s="1"/>
  <c r="T28" i="4" a="1"/>
  <c r="T28" i="4" s="1"/>
  <c r="T29" i="4" a="1"/>
  <c r="T29" i="4" s="1"/>
  <c r="I39" i="4"/>
  <c r="S11" i="4"/>
  <c r="S12" i="4"/>
  <c r="S13" i="4"/>
  <c r="S14" i="4"/>
  <c r="S20" i="4"/>
  <c r="S21" i="4"/>
  <c r="S22" i="4"/>
  <c r="S24" i="4"/>
  <c r="S28" i="4"/>
  <c r="S29" i="4"/>
  <c r="S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B10" i="4"/>
  <c r="C60" i="4"/>
  <c r="H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2" i="3"/>
  <c r="C1" i="1"/>
  <c r="B1" i="1"/>
  <c r="S26" i="4" l="1"/>
  <c r="S18" i="4"/>
  <c r="I40" i="4" a="1"/>
  <c r="I40" i="4" s="1"/>
  <c r="B35" i="4"/>
  <c r="B36" i="4"/>
  <c r="C36" i="4" s="1"/>
  <c r="B37" i="4"/>
  <c r="C37" i="4" s="1"/>
  <c r="C35" i="4"/>
  <c r="B38" i="4" s="1"/>
  <c r="B39" i="4" l="1"/>
  <c r="C39" i="4" s="1"/>
  <c r="B42" i="4" s="1"/>
  <c r="C42" i="4" s="1"/>
  <c r="B45" i="4" s="1"/>
  <c r="B40" i="4"/>
  <c r="C40" i="4" s="1"/>
  <c r="B43" i="4" s="1"/>
  <c r="C43" i="4" s="1"/>
  <c r="B46" i="4" s="1"/>
  <c r="C46" i="4" s="1"/>
  <c r="B49" i="4" s="1"/>
  <c r="C38" i="4"/>
  <c r="B41" i="4" s="1"/>
  <c r="C41" i="4" l="1"/>
  <c r="B44" i="4" s="1"/>
  <c r="C49" i="4"/>
  <c r="B52" i="4" s="1"/>
  <c r="C52" i="4" s="1"/>
  <c r="C45" i="4"/>
  <c r="B48" i="4" s="1"/>
  <c r="C44" i="4" l="1"/>
  <c r="B47" i="4"/>
  <c r="C47" i="4" s="1"/>
  <c r="B50" i="4" s="1"/>
  <c r="C50" i="4" s="1"/>
  <c r="B53" i="4" s="1"/>
  <c r="C53" i="4" s="1"/>
  <c r="C48" i="4"/>
  <c r="B51" i="4" s="1"/>
  <c r="C51" i="4" l="1"/>
  <c r="B54" i="4" s="1"/>
  <c r="C5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9FD65-4D3A-CF47-B54A-F685D2F11A17}" name="input" type="6" refreshedVersion="8" background="1" saveData="1">
    <textPr sourceFile="/Users/mariacebria/Downloads/input.csv" delimited="0" decimal="," thousands=".">
      <textFields count="3">
        <textField/>
        <textField position="163"/>
        <textField position="17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<sst xmlns="http://schemas.openxmlformats.org/spreadsheetml/2006/main" count="2400" uniqueCount="847">
  <si>
    <t>"[#.......#] (2,4) (1,2,6,8) (2,5,6,7) (0,1,2,4,6,7,8) (3,8) (0,3,4,5,6,8) (1,2,4,6,7) {8,27,38,16,29,6,33,24,29}"</t>
  </si>
  <si>
    <t>"[###.] (0,1,2) (0,2,3) (1,3) {27,12,27,21}"</t>
  </si>
  <si>
    <t>"[.#.#] (1,3) (0,1,2) {159,164,159,5}"</t>
  </si>
  <si>
    <t>"[.###.##] (1,2) (0,1,2,3,5) (2,3,5) (2,4,6) (0,2,6) (0,1,3,4,5) (0,1,2,3,4,5) {174,170,59,170,162,170,26}"</t>
  </si>
  <si>
    <t>"[...##..##.] (0,1,2,4,6,9) (0,1,2,3,4,5,6,9) (0,1,2,5,9) (0,1,2,3,7) (0,1,3,6,8) (3,5) (1,3,4,5,6,9) (1,3,4,5,7,8,9) {37,46,35,37,24,37,19,16,9,35}"</t>
  </si>
  <si>
    <t>"[#...#.####] (1,3,4,6,8) (0,1,4,5,6,9) (1,5,6) (3,4,5,8) (0,1,2,3,5,6,8,9) (0,2,3,9) (0,1,2,3,5,7,9) (0,2,4,5,7,8,9) (0,1,5,7,8) {58,53,44,44,10,63,26,32,38,44}"</t>
  </si>
  <si>
    <t>"[.....##..#] (0,1,3,4,6,7,8,9) (1,4,5,6,8,9) (0,3,9) (0,1,4,7,8,9) (2,4,7) (1,8) (0,2,3,7,8,9) (0,4,5,6,7,8,9) (0,1,2,4,8) {33,42,33,14,58,14,26,32,46,28}"</t>
  </si>
  <si>
    <t>"[.#####] (5) (4,5) (2,5) (0,1,5) (0,4) (0,1,4,5) (0,1,2,3,4) {66,50,21,16,70,64}"</t>
  </si>
  <si>
    <t>"[....####] (1,4,5) (1,4) (2,5) (0,1,2,3,4,5,6) (0,3,4,5,6,7) (3,4,5) (1,2,3,5,6) {18,43,32,54,60,69,35,15}"</t>
  </si>
  <si>
    <t>"[.#.#] (1,3) (2) (0,2,3) {2,194,17,196}"</t>
  </si>
  <si>
    <t>"[###..##] (0,1,3,4) (6) (1,3) (0,1,2,3,6) (0,1,2,5,6) (0,1,3,4,6) (0,2,3,4,5) (2,5,6) (5) {55,38,57,47,34,65,52}"</t>
  </si>
  <si>
    <t>(2,3,4,6,7,8,9)</t>
  </si>
  <si>
    <t>"[#.###.#] (0,2,4) (3,4) (0,1,2,3,5,6) (0,1,2,4,6) (0,5) (2,3,4,6) {44,20,43,26,36,20,25}"</t>
  </si>
  <si>
    <t>"[.....##.#] (1,3,6,7,8) (0,2,5,8) (0,4,5,6,7,8) (0,1,2,5,6,8) (2,3,5) (2,3,4,6,7,8) (0,3,5,7) (0,1,2,4,7,8) (0,4,7) (2,8) {85,24,53,22,56,55,27,72,71}"</t>
  </si>
  <si>
    <t>"[...#..] (2,3,5) (0,1,4,5) (2,5) (0,1,3) (0,2,3,4,5) {39,21,130,34,28,140}"</t>
  </si>
  <si>
    <t>"[##.####.] (1,3,5,6,7) (0,1,2,3,4,5) (1,3,4,6,7) (1,2,3,4,5,6) (0,5,7) (0,3,4,5,6,7) (1,4,7) (0,1,2) (1,4,6) (0,1,2,6,7) {163,195,143,48,49,46,169,184}"</t>
  </si>
  <si>
    <t>"[##.#] (0,1,3) (1,2,3) (0) (0,2) {25,22,8,22}"</t>
  </si>
  <si>
    <t>"[#.###.#.] (0,1,2,3,4,5,7) (0,4) (0,1,2,7) (5) (0,1,2,3,4,5,6) (0,3,4,5,7) (0,2) (1,3,6,7) (3,4,6) {45,10,26,24,31,18,10,21}"</t>
  </si>
  <si>
    <t>"[.#..#] (0,2,4) (4) (3,4) (1,2) (0,3,4) (1,2,4) {33,18,38,17,49}"</t>
  </si>
  <si>
    <t>"[#...##.] (2,4,5) (0,3,4) (3,5) (1,4,6) (2,6) (1,2,3,4) (0,2,4) (0,1,2,3,5) {23,28,43,28,38,24,25}"</t>
  </si>
  <si>
    <t>"[.#.#] (0) (1,2) (0,1) (0,1,3) (0,1,2) {35,53,19,19}"</t>
  </si>
  <si>
    <t>"[#..##.] (0,3,4) (1,3,4,5) (2,3,4) (3,5) (2,3) (0,1,2,3,5) (0,2) {20,17,31,48,34,19}"</t>
  </si>
  <si>
    <t>"[...#....#.] (1,2,4,8) (0,4,8,9) (0,1,2,3,6,7,8) (0,1,2,4,6,8) (0,1,3,4,9) (2,5) (1,2,5) (0,1,2,6,7,8) (3,5,6,7,8,9) {155,173,181,30,31,27,159,146,173,14}"</t>
  </si>
  <si>
    <t>"[###.##] (2,4) (0,1,2,4) (0,1,2,3,4) (0,5) (0,3) (0,1,4,5) {55,38,37,30,51,20}"</t>
  </si>
  <si>
    <t>"[..#.] (1,3) (2,3) (0,3) (0,1,2) {25,25,7,39}"</t>
  </si>
  <si>
    <t>"[#.#.] (1,2) (3) (1,3) (2,3) (1) (0,2) {0,31,19,7}"</t>
  </si>
  <si>
    <t>"[####.#...] (1,3,5,7,8) (0,1,2,3,4,6,7) (0,1,2,5,6,7,8) (4,5,6,7) (0,1,3,4,5,6,7) (0,2,3,5,7,8) (0,1,2,4,5,7,8) (0,1,3,4,7,8) {68,72,54,53,47,55,46,86,59}"</t>
  </si>
  <si>
    <t>"[#.#.] (0,2) (1,3) {16,2,16,2}"</t>
  </si>
  <si>
    <t>"[.####.##.] (2,4,8) (2,3,6,7) (0,1,2,4,5,6,8) (6) (0,1,4,5,6) (0,1,2,3,4,6,7,8) (0,1,3,5,6,7,8) (1,4,6) (0,1,2,3,5,6,7) {55,57,164,26,178,37,69,26,156}"</t>
  </si>
  <si>
    <t>"[..##...] (0,1,2,3,5) (1,2,6) (0,2,4,5,6) (0,1,2) (2,3) (0,1,3,4) (4,5) {9,12,16,6,6,8,3}"</t>
  </si>
  <si>
    <t>"[#.#.] (0,2) (1,2,3) {8,9,17,9}"</t>
  </si>
  <si>
    <t>"[.####..#] (0,1,2,3,6) (4) (1,3,5,6) (2,5,6,7) (0,5,6,7) (1,2,3,7) {27,183,174,183,18,44,56,177}"</t>
  </si>
  <si>
    <t>"[#..#...] (1) (0,4) (0,3,4,5) (3,6) (1,2,3,4,5) (2,5) (0,1) {193,44,31,194,197,200,6}"</t>
  </si>
  <si>
    <t>"[.#.#.#..] (0,4,5,6) (2,6,7) (2,3,4,5,6,7) (1,2,5,6) (1,6) (2,3,5) (1,2,4,5,6,7) (0,1,3,4,5,6,7) {10,47,55,29,46,53,78,57}"</t>
  </si>
  <si>
    <t>"[.###...#.] (2,3,5,7,8) (2,3,5,8) (1,3,4,5,6) (1,5) (0,1,2,4,5,7,8) (1,4) (1,2,3,4,5,6,7,8) (7) (0,1,2,3,5,7,8) (7,8) (4,7,8) {28,201,55,48,36,214,6,68,66}"</t>
  </si>
  <si>
    <t>"[##...##.#] (0,1,4,5,7) (0,3,5,6) (0,1,2,4,7) (0,2,4,5,6,7,8) (3,5,6) (0,1,2,3,4,6,7,8) (0,5,6,7,8) {45,26,23,34,26,35,36,28,6}"</t>
  </si>
  <si>
    <t>"[##.######] (2,3,4,6,7,8) (1,3,4,5,6,7,8) (0) (0,1,3,4,6,7,8) (1,2,6,7) (0,3,5,6,8) (0,1,3,5,6) (2,5,6,7,8) (1,2) {56,59,32,80,49,61,93,62,78}"</t>
  </si>
  <si>
    <t>"[...###.] (0,1,2,3,4,5) (0,1,2) (0,1,3,5,6) (0,4,5) (2,3,4,5) {41,34,32,42,33,49,16}"</t>
  </si>
  <si>
    <t>"[#...#] (2,4) (0,2) (0,1,3,4) (0,1,2,3) (4) {163,143,55,143,161}"</t>
  </si>
  <si>
    <t>"[..#.....##] (0,4,8,9) (0,3,4,5,7,9) (2,3,5,6,8,9) (1,5,8,9) (0,7) (0,4,9) (0,1,2,5,6,7,8,9) (0,1,5,6,7,8) (1,3) {77,32,34,53,46,53,36,48,51,80}"</t>
  </si>
  <si>
    <t>"[.##..] (1,2,4) (1,2) (0,3) (0) (4) (1,4) (1,3) {25,23,15,16,20}"</t>
  </si>
  <si>
    <t>"[#.#..] (0,1,4) (1) (0,2,4) (0,1,2) (1,2,3,4) (1,4) (0,2) {53,58,53,17,50}"</t>
  </si>
  <si>
    <t>"[##..#] (0) (1,4) (1,2) (2,3,4) (0,1,3) (0,1,2) {13,14,104,106,113}"</t>
  </si>
  <si>
    <t>"[..#.#] (2,4) (0,1,2,3) (1,2,3) (0) (0,2,4) (4) (0,2) {37,14,34,14,22}"</t>
  </si>
  <si>
    <t>"[#..####] (0,2,4,6) (0,1,3,4,5) (0,1,5) (0,1,2,6) (2,4,5) {48,40,44,2,26,36,28}"</t>
  </si>
  <si>
    <t>"[###..##.] (1,3,5,7) (0,3,4,5,6,7) (1,3,4,5,6,7) (0,1,4,5,6,7) (2) (0,2,3,4,5) {26,34,4,30,36,45,34,43}"</t>
  </si>
  <si>
    <t>"</t>
  </si>
  <si>
    <t>"[.##.#..#] (1,2,3,4,5,7) (0,2,6) (0,4,5) (0,1,2) (3,5) (1,2,4,7) {49,26,43,17,18,29,17,6}"</t>
  </si>
  <si>
    <t>"[..##.#.] (1,4,6) (1,2,6) (4,5,6) (0,1,5) (3,6) {15,41,13,11,26,28,50}"</t>
  </si>
  <si>
    <t>"[..#..#..#.] (3,5,6,9) (0,1,2,4,5,7,8,9) (2,4,7,8,9) (0,2,3,5,7,8) (2,3,4,5,6) (5,6,7,8) (1,3,6,7) (4) {12,21,32,30,47,35,37,58,44,38}"</t>
  </si>
  <si>
    <t>"[#....##.##] (1,3,6) (0,1,8,9) (0,2,3,4,5,7,8,9) (1,2,3,4,5,7,8,9) (4) (1,2,3,4,5,6,7,8,9) (0,4,7) (1,4,5) {26,40,19,39,47,21,28,30,26,26}"</t>
  </si>
  <si>
    <t>"[...###.#] (0,7) (1,4,5,7) (1,3) (3,6) (0,1,2,4,6,7) (0,5) (3,4,5,6) {24,13,2,32,21,28,23,15}"</t>
  </si>
  <si>
    <t>"[####.#] (0,1,2,3,5) (1,2,4,5) (0,1,4) (1,3,4) (0,2,3,4,5) (0,3) (0,1,5) {15,19,9,17,20,13}"</t>
  </si>
  <si>
    <t>"[###.] (0,1,2) (0,1,3) {16,16,10,6}"</t>
  </si>
  <si>
    <t>"[.##.##.] (0,1,3,4,6) (1,2,6) (3,4) (0,1,3,5,6) (0,2,4,5,6) (1,4) {19,24,2,37,33,11,20}"</t>
  </si>
  <si>
    <t>"[..##.] (0,1,2,3) (1,4) (0,1,3) (1,2,4) (1) (0,1,4) {23,74,19,17,38}"</t>
  </si>
  <si>
    <t>"[.#.#..] (1,2,4,5) (0,2,3,4) (1,2,3,4) (2,4) (1,3,5) (3,4) {16,33,47,62,63,16}"</t>
  </si>
  <si>
    <t>"[...###] (3,4) (1,2) (0,4) (0,2,3) (0,1,4,5) (1,2,4) (1,2,4,5) {22,47,52,15,62,18}"</t>
  </si>
  <si>
    <t>"[.#.#..#] (0,1,3,5,6) (0,1,4,6) (0,2,4,5) (1,4,5) (0,2,3,4,5) (1,2,3,5) {62,56,41,41,44,61,38}"</t>
  </si>
  <si>
    <t>"[.#...##] (0,1,2,3,4,6) (0,2,3,4,5) (0,1,4,5,6) (0,1,2,3,5,6) (0,2,3,4) (1,2) (0,1,2,5) (0,3,4,6) (1) {261,227,260,79,70,211,44}"</t>
  </si>
  <si>
    <t>"[.##..] (3,4) (4) (0,1,2,4) (1,3,4) (1,2) (0,3,4) {20,31,15,32,48}"</t>
  </si>
  <si>
    <t>"[#..##.###] (2,3,7) (0,1,5,6,7,8) (1,3,4,5,7,8) (0,1,2,3,5,6,7,8) (0,1,2,4,7,8) (0,1,3,4,5,8) (1,3,5,6,7,8) (2,3,4,5,6,7,8) {41,68,48,68,23,69,61,94,76}"</t>
  </si>
  <si>
    <t>"[###..##.] (0,4,7) (0,2,7) (2,3,4) (1,2,3,5) (1,2,3,4) (1,4,6,7) (3,7) {29,21,37,203,31,16,1,206}"</t>
  </si>
  <si>
    <t>"[#....###.] (0,2,8) (2,3) (0,4) (1,2,8) (0,1,3,7) (0,4,5) (1,3,5,6) {156,49,151,36,17,27,17,13,145}"</t>
  </si>
  <si>
    <t>"[.#..####] (0,1,2,3,5,6) (2,4) (2,6,7) (1,3,4,5,6,7) (1,3,4,6,7) (0,1,4,6) {33,53,47,35,54,15,69,36}"</t>
  </si>
  <si>
    <t>"[#.##..] (2,3,4) (0,1,2) (0,2,3) (4) (1,5) (0,2,3,5) (2,4) (0,3,4,5) {45,32,65,44,41,30}"</t>
  </si>
  <si>
    <t>"[#..#.###] (2,4) (0,1,3) (0,1,3,4,6,7) (5,6) (1) (4,6,7) (0,2,3,5) (2,3,4,5) (0,2,5) {28,20,43,14,32,29,16,16}"</t>
  </si>
  <si>
    <t>"[....##.#.] (0,2,3,4,7) (0,1,2,4,5,6,8) (2,4,5,6,7) (0,3,4,7,8) (0,6) (1,2,4,5,6) (2,3,4,7) {33,23,45,8,46,38,47,23,19}"</t>
  </si>
  <si>
    <t>"[#.##.##] (0,3) (1) (0,2,4,5) (0,1,3,6) (0,1,2,3,5) (0,1,5,6) (0,2,3,4,5) (0,3,4,6) {91,67,38,63,31,58,44}"</t>
  </si>
  <si>
    <t>"[###.##] (0,1,3,4,5) (0,2,4,5) (0,1,3) (0,3,4,5) (0,1,2) {150,12,120,30,138,138}"</t>
  </si>
  <si>
    <t>"[#.....##] (2,3,4,5,6,7) (1,2) (1,2,3,6) (0,6,7) (1,2,3,4,7) (2,3,4,5,7) (7) (0,2,4,5,7) (3,4,7) (2,3,7) {22,23,64,63,33,26,47,77}"</t>
  </si>
  <si>
    <t>"[.#.#] (3) (0,1,2) (0,3) (0,1) (0) (1,3) {40,26,13,24}"</t>
  </si>
  <si>
    <t>"[.###] (0,3) (0,2) (0,1) (0,1,3) (2,3) (1,2) {49,50,27,26}"</t>
  </si>
  <si>
    <t>"[#.###] (1,2,3,4) (0,2,3,4) (0,3) {14,2,13,16,13}"</t>
  </si>
  <si>
    <t>"[.##.] (0,2,3) (1,3) (0,1,3) (1) (0,2) {35,158,30,18}"</t>
  </si>
  <si>
    <t>"[#..##] (2,3,4) (0,2) (0,4) (0,2,3,4) (0,1,3) {169,14,161,156,150}"</t>
  </si>
  <si>
    <t>"[..#.####.] (0,1,3,4,6,7) (0,6) (0,2,5) (8) (2,7) (0,1,2,3,5,8) (0,1,2,3,5,6,7,8) (1,2,3,4,6,8) (5,7,8) (0,6,7) (0,1,3,4,5,6,7,8) {76,46,52,46,29,224,63,223,234}"</t>
  </si>
  <si>
    <t>"[#.#.#.] (1,2,3) (0,1,3,5) (0,4,5) (1,2,5) (1,2,3,4,5) {22,221,214,201,194,221}"</t>
  </si>
  <si>
    <t>"[.#.###] (1,3,4,5) (0,2,5) (4,5) (2,4) (0,2,3,4,5) (2,3,5) (1,5) (0,1,2,3,4) {46,58,68,55,76,80}"</t>
  </si>
  <si>
    <t>"[..#.###.##] (1,6,7) (0,2,3,7) (0,3,4,5,7) (4,6,7,8,9) (0,1,4,5,6,7,8,9) (2,4,6) (1,3,6,7,9) (1,2,3,4,6,7,8,9) (0,1,2,3,4,5,8) {59,60,53,58,79,39,72,94,67,57}"</t>
  </si>
  <si>
    <t>"[#####...] (0,1,6) (2,3,4) (0,1,2,7) (1,3,4,5,6,7) (0,6) (2,3,6) (1,4,5,6) (2,3,5) (0,1,3,4,6) (0,1,4,6) {159,82,48,57,75,41,184,35}"</t>
  </si>
  <si>
    <t>"[.#...##] (1,4,5,6) (0,2,4,5) (1,3) (0,2,3,4,6) (0,2) {35,20,35,14,28,27,8}"</t>
  </si>
  <si>
    <t>"[.....#] (1,2) (3,4,5) (2,4,5) (2,3) (0,1,3,4,5) (0,4) {9,11,30,31,45,42}"</t>
  </si>
  <si>
    <t>"[#.##..#..] (0,2,3,6,7,8) (0,3,6) (2,3,4,5,6) (3,4) (0,1,3) (0,3,4,5,7,8) (0,2,5) (0,1,7,8) {84,21,42,87,40,50,45,31,31}"</t>
  </si>
  <si>
    <t>"[#.#.#..#] (3,5,6,7) (0,1,7) (3,4) (0,1,5,7) (1,2,4) (1,2,5,6) (0,1,4,6) {32,41,9,16,32,10,15,21}"</t>
  </si>
  <si>
    <t>"[#.#.#.##.] (0,1,5,6,7) (2,3,4,5,7,8) (0,3,5,6,7,8) (0,1,2,3,5,6) (2,3,4,5,6,8) (1,5) (1,2,3,4,5,6) (0,2,3,4) {28,42,49,61,45,80,55,36,38}"</t>
  </si>
  <si>
    <t>"[##....##.] (1,3,6) (3) (1,3,5,6,7) (0,4,8) (1,4,5,8) (0,2,4,5,6,8) (0,1,2,6,7,8) (0,2,3,4,7,8) (2,6,7,8) (0,2,3,5,6) {42,45,53,210,25,42,71,43,47}"</t>
  </si>
  <si>
    <t>"[.###] (0,1,3) (0,1) (1,2,3) {14,19,5,6}"</t>
  </si>
  <si>
    <t>"[##.#####] (1,2,3,4,5,6) (0,1,2,5,6,7) (0,1,3,4,6,7) (0,2,3,5,7) (2,3,5,6,7) (1,2,3,4,7) (1,3,7) (1,2,3,7) {33,69,99,89,29,62,45,95}"</t>
  </si>
  <si>
    <t>"[.#.###] (2,3) (1,3,4,5) (0,1,2,4,5) (1,2,3,4,5) {4,19,34,33,19,19}"</t>
  </si>
  <si>
    <t>"[#....] (1,2,3) (0,1,2,3) (3) (0,4) {28,30,30,43,17}"</t>
  </si>
  <si>
    <t>"[..###] (0,1,2,3) (0,2,4) (0,1,4) {18,9,9,0,18}"</t>
  </si>
  <si>
    <t>"[##.###] (0,1,2) (0,2,4) (1,3,5) (3,4) (1,3,4) (2,3) (0,4,5) {27,41,43,55,25,23}"</t>
  </si>
  <si>
    <t>"[....###.##] (1,4,9) (0,2,8) (4,5,7) (0,2,4,5,7,9) (0,2,6,7,8) (1,2,3,4,5,6,7,9) (1,2,4,6,7,8,9) (4) {114,34,129,13,48,16,24,27,116,34}"</t>
  </si>
  <si>
    <t>"[##.#] (2) (0,1) (0) (2,3) (0,3) {15,3,21,12}"</t>
  </si>
  <si>
    <t>"[.###] (0,2) (1,2,3) {19,8,27,8}"</t>
  </si>
  <si>
    <t>"[.####.##] (0,1,2,3,4,6,7) (1,5) (0,1,3,5,6,7) (0,1,2,3,4,5) (0,1,2,4,6,7) (0) (0,2,4,6) (1,4,5,6) (0,1,3,4,5,6,7) {63,57,54,36,68,34,60,32}"</t>
  </si>
  <si>
    <t>"[##..#] (1,2,3) (0,3) (0,1,4) {18,27,11,13,16}"</t>
  </si>
  <si>
    <t>"[####.#..##] (1,3,7) (0,2,4,8,9) (2,3) (1,4) (1,2,4,6,8,9) (1,5,6,8) (1,3,5,6,7) (0,1,8) (0,1,2,4,6) (6,9) {22,54,37,11,33,24,59,5,46,34}"</t>
  </si>
  <si>
    <t>"[#.#...#.] (0,1,2,3,4,6,7) (2,4) (0,1,4,5,6,7) (2,7) (0,2,6) (1,6) (0,3,5) (0,1,2,4,5,7) (1,2,4,6) {53,35,55,20,52,38,31,30}"</t>
  </si>
  <si>
    <t>"[##.###] (0,2,3,4) (0,1,2,3) (1,4) (0,1,2,4) (0,3,5) {56,35,41,53,35,15}"</t>
  </si>
  <si>
    <t>"[#######] (0,2,6) (0,3) (0,5) (0,4) (1,2,4) (1,2,6) (1,2) (1,2,3,4) {44,46,55,29,33,13,19}"</t>
  </si>
  <si>
    <t>"[.#.##..] (0,1,2,5) (3,4,5,6) (2,3) (1,4,5,6) (1,2,5,6) (1,2,3) (3,5) (0,2,4,5,6) {22,58,66,46,18,64,35}"</t>
  </si>
  <si>
    <t>"[..##..] (0,1,2,4,5) (2,3) (0,2,4) (1,2,5) {18,14,44,15,18,14}"</t>
  </si>
  <si>
    <t>"[.#.#..] (0,1,2,4,5) (3,4,5) (2,5) (4,5) (0,1,2,3,5) (0,3) {199,197,217,12,206,227}"</t>
  </si>
  <si>
    <t>"[..#..#] (1,2,3,5) (1,2,3,4,5) (1,3) (0,1,4) {18,43,20,25,29,20}"</t>
  </si>
  <si>
    <t>"[#####] (1,2,4) (0,1,3) (0,1,2,4) (0,1) {33,42,29,11,29}"</t>
  </si>
  <si>
    <t>"[####.] (0,3,4) (1,3,4) (0,1,2,3) {19,30,16,33,17}"</t>
  </si>
  <si>
    <t>"[##.#.#] (0,2,3,4) (0,1,3,5) (0,1,4,5) (0,1,4) {66,47,19,38,47,33}"</t>
  </si>
  <si>
    <t>"[#.#.] (0,1) (0,1,3) (0,2) (1,3) {32,27,7,14}"</t>
  </si>
  <si>
    <t>"[.##..#] (0) (1,4) (0,1,4,5) (0,3) (2,3) (0,1,5) (2,4,5) (1,2) {43,43,40,25,41,33}"</t>
  </si>
  <si>
    <t>"[#..##.##] (3,4) (0,3,5) (0,1,2) (0,1,3,4,6,7) (5) (2,4,6) (0,3,4,5,6,7) (5,6) (0,2,3,4,6) (1) {63,42,38,57,65,48,70,33}"</t>
  </si>
  <si>
    <t>"[.#.##...#] (0,2,3,5,6) (3,4,5,6,8) (0,1,2,3,8) (0,5,7) (1,2,3,4,5,7,8) (0,4) (4,5,6,7,8) (1,3,4,5,6,7,8) (0,1,3,4,5,6,7) (2,5,7) {70,26,38,49,43,56,39,33,25}"</t>
  </si>
  <si>
    <t>"[..###..] (4,6) (0,2) (0,1,2,5,6) (3,5,6) (0,3,4,6) (1,2,3,5,6) (0,3,4) {43,29,48,36,27,34,49}"</t>
  </si>
  <si>
    <t>"[###.] (0,1) (2,3) (0) (0,1,3) (1,2) {26,18,3,3}"</t>
  </si>
  <si>
    <t>"[.##.#] (0,3,4) (1,2) (0,2,3) (1,2,4) (1,4) {18,158,172,18,9}"</t>
  </si>
  <si>
    <t>"[#####] (0) (0,3,4) (0,2,3,4) (0,1,3) (0,1) {20,5,9,13,9}"</t>
  </si>
  <si>
    <t>"[#.##.#..] (0,3,5) (0,4,6,7) (4,7) (1,2,3,4,6,7) (3) (2,3,4,5,6,7) (0,1,2,4,5) (0,1,2,4,6,7) {59,34,41,45,64,44,41,45}"</t>
  </si>
  <si>
    <t>"[..#..#...] (4,8) (2,8) (2,4,5,6,7,8) (1,4,6,7) (0,8) (2,3,4,5,6,7,8) (0,3,5,6,7) (3,7,8) (1,3,4,5,6) (2,3,7) {11,32,27,64,63,45,58,58,48}"</t>
  </si>
  <si>
    <t>"[#..##...] (7) (0,1,3,4,7) (0,1,4,5,6,7) (0,2,3,4,6,7) (0,6) (1,2,4,5,7) (1,2,3,4,5,6) (0,2,3,4,5,7) {39,39,43,30,53,39,34,57}"</t>
  </si>
  <si>
    <t>"[###.#] (0,1,4) (1,3) (1,3,4) (1,2,3) {6,36,14,30,6}"</t>
  </si>
  <si>
    <t>"[.#.....#..] (0,2,5,6,9) (0,1,3,9) (0,6) (6,8) (2,3,6,7,8,9) (0,3,4,9) (3,4,7,8,9) (0,1,2,5,6,7,9) (5,6) {62,31,43,64,25,25,64,39,44,87}"</t>
  </si>
  <si>
    <t>"[.#.#.###.] (0,1,3,4,6,8) (5,8) (0,1,4,5,6,7) (4,6) (1,6) (0,1,2,6) (3,5,6,7,8) (2,3,4,7) (4,7) (1,2,4,5,6,8) {23,40,24,39,79,31,64,44,43}"</t>
  </si>
  <si>
    <t>"[..##....] (1,2,3,5) (0,1,3,4,5,6) (3,4,6) (1,3,6,7) (0,2,4,5,6,7) (0,1,3,5,6) (0,1,4,5) (0,3,4,5,6) (0,1,2,4,5,6,7) {237,237,183,73,236,241,248,188}"</t>
  </si>
  <si>
    <t>"[.#.#.#....] (0,1,3,4,6) (1,3,7,8) (4,5,6,8) (0,2,3,4,5,7,8,9) (1,6) (0,2,9) (1,2,4,5,6,7,8) (6,7) (0,8) (1,2,3,4,6,8,9) {38,57,52,47,44,26,50,51,59,39}"</t>
  </si>
  <si>
    <t>"[.###] (0,1,3) (0,2) (1,2) {33,27,34,13}"</t>
  </si>
  <si>
    <t>"[.....#] (2,3,4,5) (0,1,2) (1,2,4) (0,1,4) (0,2,4,5) (3) (5) (0,1,2,3) {44,42,41,26,42,34}"</t>
  </si>
  <si>
    <t>"[##.#.] (0,1,2,3) (0,3,4) (1,2) (0,4) (0,1,2,4) (1,3,4) (2,3,4) {39,53,43,42,47}"</t>
  </si>
  <si>
    <t>"[..#.#] (1,3,4) (0,1,2) (0,1,4) (1,2,3,4) {19,25,16,6,9}"</t>
  </si>
  <si>
    <t>"[#..###.] (1,6) (2,3) (0,1) (0,1,3,4,6) (1,2,4,5,6) (3,4,6) (0,6) (2,3,5) (0,4,5) {43,35,31,31,31,35,50}"</t>
  </si>
  <si>
    <t>"[.##.##.##] (0,2,3,4,6,7,8) (1,2,3,5) (0,1,2,3) (0,1,3,4,5) (8) (5,7) (0) (0,1,4,6,7) (2,3,5) {34,17,23,37,16,44,2,14,2}"</t>
  </si>
  <si>
    <t>"[##..] (1,3) (3) (2,3) (0,1) {4,11,14,31}"</t>
  </si>
  <si>
    <t>"[.#.#] (0,1,3) (0,2) (1,3) (1,2) (2) (3) {29,22,24,23}"</t>
  </si>
  <si>
    <t>"[#.##...] (1,4,5,6) (3,5) (1,2,3,6) (0,1,2,3,6) (2,4,5) (4,5) {18,35,40,224,27,224,35}"</t>
  </si>
  <si>
    <t>"[##..#..] (0,2,4,6) (0,1,3) (0,1,2,5,6) (4,5,6) (0) (0,1,2,3,5) (0,4,5,6) (0,1,2,4,5) (1,3,4,5) {50,35,16,31,64,66,48}"</t>
  </si>
  <si>
    <t>"[....#..#.] (0,2,5,8) (1,3,4,5,6,7,8) (1,2,3,7) (0,1,2,3,4,5,6,8) (0,1,2,4,6,7) (0,1,2,3,5,6,7,8) (0) (0,1,3,5,7,8) (0,1,3,4,5,7) (0,1,2,4,5,6,8) (1,5,6,7,8) {80,77,75,39,56,78,65,47,73}"</t>
  </si>
  <si>
    <t>"[#....#...#] (0,1,3,4,6,7,8) (0,2,3,4,5,6,7) (0,1,2,3,4,5,8,9) (1,2,3,4,6,7,8,9) (0,1,2,3,6,7) (0,2,5,9) (3,7,9) (0,1,2,3,4,5,8) (2) (6,8,9) (0,2,4,5,6) (1,6,8,9)(2,3,4,6,7,8,9){77,44,104,72,76,57,91,60,51,44}"</t>
  </si>
  <si>
    <t>"[....#..###] (1,2,5,8) (5) (2,4,6,7,8) (1,4,5,6,7) (1,8,9) (0,1,2,5,6,7,8,9) (1,3,8,9) (0,1) (2,4,5,6,7,8,9) (0,2,9) (0,2,5,6,8) (2,5,6) (1,2,5) {55,76,87,15,45,85,72,50,72,45}"</t>
  </si>
  <si>
    <t>"[##..##...#] (0,1,3,5,6,7,9) (0,1,2,4,7,9) (0,2,4,5,8,9) (0,2,4,6,8,9) (1,6,7,8) (1,2,3,4,5,7,8) (1,4,5,6,7,9) (0,2,3,4,5,6,8,9) (1,2,6) (0,6,8,9) (1,3,7) (4,8,9){66,35,49,39,58	,55,58,32,52,78}"</t>
  </si>
  <si>
    <t>"[#..#..##.#] (0,1,2,3,4,5,6,9) (0,2,3,5) (3,4,6) (0,1,2,3,4,5,8,9) (0,3,4,6,7,8,9) (1,2,4,6,7) (5,6,8) (0,6) (0,1,2,3,4,6,9) (1,4,7) (1,2,4,5,6,8,9) (0,1,3,8) {50,71,38,66,82,38,	69,36,56,33}"</t>
  </si>
  <si>
    <t>"[#..#####..] (0,1,2,3,6,8,9) (0,1,2,6) (0,2,3,4,5) (0,2,3,8) (1,3,4,5,7,8,9) (0,4,5,6,7,9) (0,1,2,4,5,7,8,9) (0,2,6,7) (0,3,4,5,6,7,8) (1,2,3,4,5,6,9) {235,63,64,215,210,210,233,	198,203,62}"</t>
  </si>
  <si>
    <t>"[#....##...] (0,3,4,5,6,8,9) (0,1,2,4,7,8) (0,1,2,3,6,9) (0,2,4,5,7,8,9) (0,1,2,3,4,5,7,9) (0,6,8,9) (2,6,7,8) (0,4,5,6,7,8,9) (2,3,4,5,6,8,9) (9) (1,3,5,6,7,8,9)(0,1,2,3,4,5,6,	8,9) (4,8) {101,70,74,72,97,85,95,84,122,108}"</t>
  </si>
  <si>
    <t>"[.....#.###] (1,3,4,6,7,8,9) (0,1,4,6,7,8,9) (3,4,5,7,8,9) (2,6,7,9) (0,1,3,4,5,6,7,8) (0,2,3,5,7,8) (1,3,5,6,8) (1,2,5) (1,5,6,8,9) (0,6,8) (1,2,4,5,6,7,8,9) (1,3,5,7,8,9) (3,5,	9) {40,88,33,82,45,102,74,70,104,86}"</t>
  </si>
  <si>
    <t>"[##..#.##.#] (2,3,4,5,6,8,9) (1,2,4,5,6,8,9) (0,1,4,5,7,8,9) (1,7,8,9) (1,3,4) (0,1,4,8,9) (0,2,3,4,5,6,7) (0,2,3,4,5,7,9) (1,2,3,5,6,8,9) (0,2,4,5,8) {54,86,82,66,99,89,51,43,10	3,104}"</t>
  </si>
  <si>
    <t>"[.#.##.###] (1,2,3,4) (0,1,2,4,5,6,7) (0,1,2,3,5,6,8) (4,5) (0,2,3,4,5,6,7,8) (0,1,2,3,5,6,7,8) (1) (0,1,8) (0,1,4,5,7,8) (0,1,2,3,4,5,6,8) (0,1,2) {56,74,43,28,199,191,14,25,41}</t>
  </si>
  <si>
    <t>"[.##.##..#] (0,1,3,4,6,7,8) (2,3,6,7) (1,2,3,5,6,7,8) (1,2,3,7,8) (2,3,4,5,6,7,8) (1,6) (0,1,2,6) (1,3,4,5,6,8) (5,6,7) (2,4,5,8) (3,4) {28,70,66,65,60,176,208,173,70}"</t>
  </si>
  <si>
    <t>"[..#.##.##.] (0,2,4,5,6,7,8,9) (0,1,2,3,4,5,6,7,9) (1,4,5,6,7,9) (0,3,5,6,7) (0,1,4,5,7,8,9) (0,1,2,3,5,6,7) (2,4,6) (4,7) (0,1,2,3,4,5,7,8) (0,5,7,8,9) (0,1,2,3,4,7,9) (0,1,2,3,	5,6,7,8) {100,80,97,70,87,100,95,118,50,75}"</t>
  </si>
  <si>
    <t>"[..###.#.##] (0,1,2,4,5,7,8) (0,5,8,9) (4,5,6,7,8,9) (0,3,4,8,9) (2,4,7,9) (3,4,6,7,8,9) (1,2,3,4,6,7,8,9) (0,1,3,4,5,6,7,8) (0,1,4,5,6,8) (2,9) (2,3,5,6,7,8) {59,58,68,84,101,62	,85,85,111,80}"</t>
  </si>
  <si>
    <t>"[##.###...#] (1,5,6,9) (1,4,5,6,9) (0,2) (2,5,6,7,8,9) (2) (3,5,6,7,8) (1,2,3,4,6) (4,5,6,7) (1,2,3,4,7,8,9) (2,3,8) (0,2,3,4,6,7,8) (1,2,3,9) {12,43,64,59,37,64,73,63,47,50}"</t>
  </si>
  <si>
    <t>"[#..#...#.#] (1,5,6,7,8,9) (0,1,5,6,7,8) (0,1,2,3,4,5,6,8) (0,1,3,4,6,7,8,9) (0,1,3,4,5,6,8) (1,4,9) (3,6,7) (0,2,3,4,5,7,8) (0,1,4,6) (3,4,5,6,9) (2,5,8,9) (0,3,6,7) {96,97,36,9	6,81,95,141,84,99,62}"</t>
  </si>
  <si>
    <t>"[#...#.###.] (0,1,2,4,5,6,8,9) (2,4,8) (4,7) (0,2,3,4,5,7,8,9) (2,3,4,6,7) (0,1,3,4,5,6,7) (5,6) (3,8) (1,4,5,7,8,9) (0,4,7) (0,1,4,5,7,8) {73,48,38,40,111,68,24,95,68,40}"</t>
  </si>
  <si>
    <t>"[######...#] (0,3,4,8,9) (0,2,4,6,9) (0,1,2,3,4,5,8,9) (0,1,2,3,5,6,8,9) (2,6,8,9) (0,4,6,7,9) (0,2,4,5,6,7,8) (1,2,5,6,7) (0,1,2,3,8) (0,1,4,5,9) (0,1,2,3,4,5,6,7) {101,92,115,6	4,73,85,95,42,70,91}"</t>
  </si>
  <si>
    <t>"[....###..] (3,4,5,6,7) (1,2,4,5,6,7,8) (0,2,3,4,5,7,8) (3,4,6) (0,4,5,7,8) (0,2,3,6,7) (0,1,2,5,6,7,8) (0,1,2,4,5,6,7,8) (1,2,3,4,5,6,7,8) {61,54,75,56,93,82,95,100,74}"</t>
  </si>
  <si>
    <t>"[..##..#...] (1,3,6,8,9) (1,2,4,5,8,9) (0,1,3,4,5,6,8,9) (4,6,7,8,9) (0,3,4,5,6,7,8) (2,4,5,7,8,9) (0,4,6) (4,6,7) (0,1,4,7) (1,2,3,4,5,6,8,9) (5,7,8) {31,37,21,46,69,41,66,44,58	,39}"</t>
  </si>
  <si>
    <t>"[#.#.#.....] (3,4,9) (1,2,6) (0,3,6) (6,8,9) (2,5) (0,2,4) (0,1,3,6,7,8,9) (0,4,5) (0,1,2,4,5,6,7,8) (0,2,3,4,5,6,7,9) (0,2,3,5,6,7) (4,8,9) (0,5,9) {63,27,54,28,46,57,54,22,27,3	8}"</t>
  </si>
  <si>
    <t>[#.......#] (2,4) (1,2,6,8) (2,5,6,7) (0,1,2,4,6,7,8) (3,8) (0,3,4,5,6,8) (1,2,4,6,7) {8,27,38,16,29,6,33,24,29}</t>
  </si>
  <si>
    <t>[###.] (0,1,2) (0,2,3) (1,3) {27,12,27,21}</t>
  </si>
  <si>
    <t>[.#.#] (1,3) (0,1,2) {159,164,159,5}</t>
  </si>
  <si>
    <t>[.###.##] (1,2) (0,1,2,3,5) (2,3,5) (2,4,6) (0,2,6) (0,1,3,4,5) (0,1,2,3,4,5) {174,170,59,170,162,170,26}</t>
  </si>
  <si>
    <t>[...##..##.] (0,1,2,4,6,9) (0,1,2,3,4,5,6,9) (0,1,2,5,9) (0,1,2,3,7) (0,1,3,6,8) (3,5) (1,3,4,5,6,9) (1,3,4,5,7,8,9) {37,46,35,37,24,37,19,16,9,35}</t>
  </si>
  <si>
    <t>[#...#.####] (1,3,4,6,8) (0,1,4,5,6,9) (1,5,6) (3,4,5,8) (0,1,2,3,5,6,8,9) (0,2,3,9) (0,1,2,3,5,7,9) (0,2,4,5,7,8,9) (0,1,5,7,8) {58,53,44,44,10,63,26,32,38,44}</t>
  </si>
  <si>
    <t>[.....##..#] (0,1,3,4,6,7,8,9) (1,4,5,6,8,9) (0,3,9) (0,1,4,7,8,9) (2,4,7) (1,8) (0,2,3,7,8,9) (0,4,5,6,7,8,9) (0,1,2,4,8) {33,42,33,14,58,14,26,32,46,28}</t>
  </si>
  <si>
    <t>[....#..#.] (0,2,5,8) (1,3,4,5,6,7,8) (1,2,3,7) (0,1,2,3,4,5,6,8) (0,1,2,4,6,7) (0,1,2,3,5,6,7,8) (0) (0,1,3,5,7,8) (0,1,3,4,5,7) (0,1,2,4,5,6,8) (1,5,6,7,8) {80,77,75,39,56,78,65,47,73}</t>
  </si>
  <si>
    <t>[.#####] (5) (4,5) (2,5) (0,1,5) (0,4) (0,1,4,5) (0,1,2,3,4) {66,50,21,16,70,64}</t>
  </si>
  <si>
    <t>[....####] (1,4,5) (1,4) (2,5) (0,1,2,3,4,5,6) (0,3,4,5,6,7) (3,4,5) (1,2,3,5,6) {18,43,32,54,60,69,35,15}</t>
  </si>
  <si>
    <t>[.#.#] (1,3) (2) (0,2,3) {2,194,17,196}</t>
  </si>
  <si>
    <t>[###..##] (0,1,3,4) (6) (1,3) (0,1,2,3,6) (0,1,2,5,6) (0,1,3,4,6) (0,2,3,4,5) (2,5,6) (5) {55,38,57,47,34,65,52}</t>
  </si>
  <si>
    <t>[#....#...#] (0,1,3,4,6,7,8) (0,2,3,4,5,6,7) (0,1,2,3,4,5,8,9) (1,2,3,4,6,7,8,9) (0,1,2,3,6,7) (0,2,5,9) (3,7,9) (0,1,2,3,4,5,8) (2) (6,8,9) (0,2,4,5,6) (1,6,8,9) (2,3,4,6,7,8,9) {77,44,104,72,76,57,91,60,51,44}</t>
  </si>
  <si>
    <t>[#.###.#] (0,2,4) (3,4) (0,1,2,3,5,6) (0,1,2,4,6) (0,5) (2,3,4,6) {44,20,43,26,36,20,25}</t>
  </si>
  <si>
    <t>[.....##.#] (1,3,6,7,8) (0,2,5,8) (0,4,5,6,7,8) (0,1,2,5,6,8) (2,3,5) (2,3,4,6,7,8) (0,3,5,7) (0,1,2,4,7,8) (0,4,7) (2,8) {85,24,53,22,56,55,27,72,71}</t>
  </si>
  <si>
    <t>[...#..] (2,3,5) (0,1,4,5) (2,5) (0,1,3) (0,2,3,4,5) {39,21,130,34,28,140}</t>
  </si>
  <si>
    <t>[##.####.] (1,3,5,6,7) (0,1,2,3,4,5) (1,3,4,6,7) (1,2,3,4,5,6) (0,5,7) (0,3,4,5,6,7) (1,4,7) (0,1,2) (1,4,6) (0,1,2,6,7) {163,195,143,48,49,46,169,184}</t>
  </si>
  <si>
    <t>[##.#] (0,1,3) (1,2,3) (0) (0,2) {25,22,8,22}</t>
  </si>
  <si>
    <t>[#.###.#.] (0,1,2,3,4,5,7) (0,4) (0,1,2,7) (5) (0,1,2,3,4,5,6) (0,3,4,5,7) (0,2) (1,3,6,7) (3,4,6) {45,10,26,24,31,18,10,21}</t>
  </si>
  <si>
    <t>[.#..#] (0,2,4) (4) (3,4) (1,2) (0,3,4) (1,2,4) {33,18,38,17,49}</t>
  </si>
  <si>
    <t>[....#..###] (1,2,5,8) (5) (2,4,6,7,8) (1,4,5,6,7) (1,8,9) (0,1,2,5,6,7,8,9) (1,3,8,9) (0,1) (2,4,5,6,7,8,9) (0,2,9) (0,2,5,6,8) (2,5,6) (1,2,5) {55,76,87,15,45,85,72,50,72,45}</t>
  </si>
  <si>
    <t>[##..##...#] (0,1,3,5,6,7,9) (0,1,2,4,7,9) (0,2,4,5,8,9) (0,2,4,6,8,9) (1,6,7,8) (1,2,3,4,5,7,8) (1,4,5,6,7,9) (0,2,3,4,5,6,8,9) (1,2,6) (0,6,8,9) (1,3,7) (4,8,9) {66,35,49,39,58,55,58,32,52,78}</t>
  </si>
  <si>
    <t>[#...##.] (2,4,5) (0,3,4) (3,5) (1,4,6) (2,6) (1,2,3,4) (0,2,4) (0,1,2,3,5) {23,28,43,28,38,24,25}</t>
  </si>
  <si>
    <t>[.#.#] (0) (1,2) (0,1) (0,1,3) (0,1,2) {35,53,19,19}</t>
  </si>
  <si>
    <t>[#..##.] (0,3,4) (1,3,4,5) (2,3,4) (3,5) (2,3) (0,1,2,3,5) (0,2) {20,17,31,48,34,19}</t>
  </si>
  <si>
    <t>[#..#..##.#] (0,1,2,3,4,5,6,9) (0,2,3,5) (3,4,6) (0,1,2,3,4,5,8,9) (0,3,4,6,7,8,9) (1,2,4,6,7) (5,6,8) (0,6) (0,1,2,3,4,6,9) (1,4,7) (1,2,4,5,6,8,9) (0,1,3,8) {50,71,38,66,82,38,69,36,56,33}</t>
  </si>
  <si>
    <t>[...#....#.] (1,2,4,8) (0,4,8,9) (0,1,2,3,6,7,8) (0,1,2,4,6,8) (0,1,3,4,9) (2,5) (1,2,5) (0,1,2,6,7,8) (3,5,6,7,8,9) {155,173,181,30,31,27,159,146,173,14}</t>
  </si>
  <si>
    <t>[###.##] (2,4) (0,1,2,4) (0,1,2,3,4) (0,5) (0,3) (0,1,4,5) {55,38,37,30,51,20}</t>
  </si>
  <si>
    <t>[..#.] (1,3) (2,3) (0,3) (0,1,2) {25,25,7,39}</t>
  </si>
  <si>
    <t>[#..#####..] (0,1,2,3,6,8,9) (0,1,2,6) (0,2,3,4,5) (0,2,3,8) (1,3,4,5,7,8,9) (0,4,5,6,7,9) (0,1,2,4,5,7,8,9) (0,2,6,7) (0,3,4,5,6,7,8) (1,2,3,4,5,6,9) {235,63,64,215,210,210,233,198,203,62}</t>
  </si>
  <si>
    <t>[#.#.] (1,2) (3) (1,3) (2,3) (1) (0,2) {0,31,19,7}</t>
  </si>
  <si>
    <t>[####.#...] (1,3,5,7,8) (0,1,2,3,4,6,7) (0,1,2,5,6,7,8) (4,5,6,7) (0,1,3,4,5,6,7) (0,2,3,5,7,8) (0,1,2,4,5,7,8) (0,1,3,4,7,8) {68,72,54,53,47,55,46,86,59}</t>
  </si>
  <si>
    <t>[#....##...] (0,3,4,5,6,8,9) (0,1,2,4,7,8) (0,1,2,3,6,9) (0,2,4,5,7,8,9) (0,1,2,3,4,5,7,9) (0,6,8,9) (2,6,7,8) (0,4,5,6,7,8,9) (2,3,4,5,6,8,9) (9) (1,3,5,6,7,8,9) (0,1,2,3,4,5,6,8,9) (4,8) {101,70,74,72,97,85,95,84,122,108}</t>
  </si>
  <si>
    <t>[#.#.] (0,2) (1,3) {16,2,16,2}</t>
  </si>
  <si>
    <t>[.....#.###] (1,3,4,6,7,8,9) (0,1,4,6,7,8,9) (3,4,5,7,8,9) (2,6,7,9) (0,1,3,4,5,6,7,8) (0,2,3,5,7,8) (1,3,5,6,8) (1,2,5) (1,5,6,8,9) (0,6,8) (1,2,4,5,6,7,8,9) (1,3,5,7,8,9) (3,5,9) {40,88,33,82,45,102,74,70,104,86}</t>
  </si>
  <si>
    <t>[##..#.##.#] (2,3,4,5,6,8,9) (1,2,4,5,6,8,9) (0,1,4,5,7,8,9) (1,7,8,9) (1,3,4) (0,1,4,8,9) (0,2,3,4,5,6,7) (0,2,3,4,5,7,9) (1,2,3,5,6,8,9) (0,2,4,5,8) {54,86,82,66,99,89,51,43,103,104}</t>
  </si>
  <si>
    <t>[.####.##.] (2,4,8) (2,3,6,7) (0,1,2,4,5,6,8) (6) (0,1,4,5,6) (0,1,2,3,4,6,7,8) (0,1,3,5,6,7,8) (1,4,6) (0,1,2,3,5,6,7) {55,57,164,26,178,37,69,26,156}</t>
  </si>
  <si>
    <t>[..##...] (0,1,2,3,5) (1,2,6) (0,2,4,5,6) (0,1,2) (2,3) (0,1,3,4) (4,5) {9,12,16,6,6,8,3}</t>
  </si>
  <si>
    <t>[#.#.] (0,2) (1,2,3) {8,9,17,9}</t>
  </si>
  <si>
    <t>[.####..#] (0,1,2,3,6) (4) (1,3,5,6) (2,5,6,7) (0,5,6,7) (1,2,3,7) {27,183,174,183,18,44,56,177}</t>
  </si>
  <si>
    <t>[#..#...] (1) (0,4) (0,3,4,5) (3,6) (1,2,3,4,5) (2,5) (0,1) {193,44,31,194,197,200,6}</t>
  </si>
  <si>
    <t>[.#.#.#..] (0,4,5,6) (2,6,7) (2,3,4,5,6,7) (1,2,5,6) (1,6) (2,3,5) (1,2,4,5,6,7) (0,1,3,4,5,6,7) {10,47,55,29,46,53,78,57}</t>
  </si>
  <si>
    <t>[.###...#.] (2,3,5,7,8) (2,3,5,8) (1,3,4,5,6) (1,5) (0,1,2,4,5,7,8) (1,4) (1,2,3,4,5,6,7,8) (7) (0,1,2,3,5,7,8) (7,8) (4,7,8) {28,201,55,48,36,214,6,68,66}</t>
  </si>
  <si>
    <t>[##...##.#] (0,1,4,5,7) (0,3,5,6) (0,1,2,4,7) (0,2,4,5,6,7,8) (3,5,6) (0,1,2,3,4,6,7,8) (0,5,6,7,8) {45,26,23,34,26,35,36,28,6}</t>
  </si>
  <si>
    <t>[##.######] (2,3,4,6,7,8) (1,3,4,5,6,7,8) (0) (0,1,3,4,6,7,8) (1,2,6,7) (0,3,5,6,8) (0,1,3,5,6) (2,5,6,7,8) (1,2) {56,59,32,80,49,61,93,62,78}</t>
  </si>
  <si>
    <t>[...###.] (0,1,2,3,4,5) (0,1,2) (0,1,3,5,6) (0,4,5) (2,3,4,5) {41,34,32,42,33,49,16}</t>
  </si>
  <si>
    <t>[#...#] (2,4) (0,2) (0,1,3,4) (0,1,2,3) (4) {163,143,55,143,161}</t>
  </si>
  <si>
    <t>[..#.....##] (0,4,8,9) (0,3,4,5,7,9) (2,3,5,6,8,9) (1,5,8,9) (0,7) (0,4,9) (0,1,2,5,6,7,8,9) (0,1,5,6,7,8) (1,3) {77,32,34,53,46,53,36,48,51,80}</t>
  </si>
  <si>
    <t>[.##..] (1,2,4) (1,2) (0,3) (0) (4) (1,4) (1,3) {25,23,15,16,20}</t>
  </si>
  <si>
    <t>[#.#..] (0,1,4) (1) (0,2,4) (0,1,2) (1,2,3,4) (1,4) (0,2) {53,58,53,17,50}</t>
  </si>
  <si>
    <t>[##..#] (0) (1,4) (1,2) (2,3,4) (0,1,3) (0,1,2) {13,14,104,106,113}</t>
  </si>
  <si>
    <t>[..#.#] (2,4) (0,1,2,3) (1,2,3) (0) (0,2,4) (4) (0,2) {37,14,34,14,22}</t>
  </si>
  <si>
    <t>[#..####] (0,2,4,6) (0,1,3,4,5) (0,1,5) (0,1,2,6) (2,4,5) {48,40,44,2,26,36,28}</t>
  </si>
  <si>
    <t>[###..##.] (1,3,5,7) (0,3,4,5,6,7) (1,3,4,5,6,7) (0,1,4,5,6,7) (2) (0,2,3,4,5) {26,34,4,30,36,45,34,43}</t>
  </si>
  <si>
    <t>[.#.##.###] (1,2,3,4) (0,1,2,4,5,6,7) (0,1,2,3,5,6,8) (4,5) (0,2,3,4,5,6,7,8) (0,1,2,3,5,6,7,8) (1) (0,1,8) (0,1,4,5,7,8) (0,1,2,3,4,5,6,8) (0,1,2) {56,74,43,28,199,191,14,25,41}</t>
  </si>
  <si>
    <t>[.##.#..#] (1,2,3,4,5,7) (0,2,6) (0,4,5) (0,1,2) (3,5) (1,2,4,7) {49,26,43,17,18,29,17,6}</t>
  </si>
  <si>
    <t>[..##.#.] (1,4,6) (1,2,6) (4,5,6) (0,1,5) (3,6) {15,41,13,11,26,28,50}</t>
  </si>
  <si>
    <t>[.##.##..#] (0,1,3,4,6,7,8) (2,3,6,7) (1,2,3,5,6,7,8) (1,2,3,7,8) (2,3,4,5,6,7,8) (1,6) (0,1,2,6) (1,3,4,5,6,8) (5,6,7) (2,4,5,8) (3,4) {28,70,66,65,60,176,208,173,70}</t>
  </si>
  <si>
    <t>[..#..#..#.] (3,5,6,9) (0,1,2,4,5,7,8,9) (2,4,7,8,9) (0,2,3,5,7,8) (2,3,4,5,6) (5,6,7,8) (1,3,6,7) (4) {12,21,32,30,47,35,37,58,44,38}</t>
  </si>
  <si>
    <t>[#....##.##] (1,3,6) (0,1,8,9) (0,2,3,4,5,7,8,9) (1,2,3,4,5,7,8,9) (4) (1,2,3,4,5,6,7,8,9) (0,4,7) (1,4,5) {26,40,19,39,47,21,28,30,26,26}</t>
  </si>
  <si>
    <t>[...###.#] (0,7) (1,4,5,7) (1,3) (3,6) (0,1,2,4,6,7) (0,5) (3,4,5,6) {24,13,2,32,21,28,23,15}</t>
  </si>
  <si>
    <t>[####.#] (0,1,2,3,5) (1,2,4,5) (0,1,4) (1,3,4) (0,2,3,4,5) (0,3) (0,1,5) {15,19,9,17,20,13}</t>
  </si>
  <si>
    <t>[###.] (0,1,2) (0,1,3) {16,16,10,6}</t>
  </si>
  <si>
    <t>[.##.##.] (0,1,3,4,6) (1,2,6) (3,4) (0,1,3,5,6) (0,2,4,5,6) (1,4) {19,24,2,37,33,11,20}</t>
  </si>
  <si>
    <t>[..##.] (0,1,2,3) (1,4) (0,1,3) (1,2,4) (1) (0,1,4) {23,74,19,17,38}</t>
  </si>
  <si>
    <t>[.#.#..] (1,2,4,5) (0,2,3,4) (1,2,3,4) (2,4) (1,3,5) (3,4) {16,33,47,62,63,16}</t>
  </si>
  <si>
    <t>[...###] (3,4) (1,2) (0,4) (0,2,3) (0,1,4,5) (1,2,4) (1,2,4,5) {22,47,52,15,62,18}</t>
  </si>
  <si>
    <t>[.#.#..#] (0,1,3,5,6) (0,1,4,6) (0,2,4,5) (1,4,5) (0,2,3,4,5) (1,2,3,5) {62,56,41,41,44,61,38}</t>
  </si>
  <si>
    <t>[.#...##] (0,1,2,3,4,6) (0,2,3,4,5) (0,1,4,5,6) (0,1,2,3,5,6) (0,2,3,4) (1,2) (0,1,2,5) (0,3,4,6) (1) {261,227,260,79,70,211,44}</t>
  </si>
  <si>
    <t>[.##..] (3,4) (4) (0,1,2,4) (1,3,4) (1,2) (0,3,4) {20,31,15,32,48}</t>
  </si>
  <si>
    <t>[..#.##.##.] (0,2,4,5,6,7,8,9) (0,1,2,3,4,5,6,7,9) (1,4,5,6,7,9) (0,3,5,6,7) (0,1,4,5,7,8,9) (0,1,2,3,5,6,7) (2,4,6) (4,7) (0,1,2,3,4,5,7,8) (0,5,7,8,9) (0,1,2,3,4,7,9) (0,1,2,3,5,6,7,8) {100,80,97,70,87,100,95,118,50,75}</t>
  </si>
  <si>
    <t>[#..##.###] (2,3,7) (0,1,5,6,7,8) (1,3,4,5,7,8) (0,1,2,3,5,6,7,8) (0,1,2,4,7,8) (0,1,3,4,5,8) (1,3,5,6,7,8) (2,3,4,5,6,7,8) {41,68,48,68,23,69,61,94,76}</t>
  </si>
  <si>
    <t>[###..##.] (0,4,7) (0,2,7) (2,3,4) (1,2,3,5) (1,2,3,4) (1,4,6,7) (3,7) {29,21,37,203,31,16,1,206}</t>
  </si>
  <si>
    <t>[#....###.] (0,2,8) (2,3) (0,4) (1,2,8) (0,1,3,7) (0,4,5) (1,3,5,6) {156,49,151,36,17,27,17,13,145}</t>
  </si>
  <si>
    <t>[.#..####] (0,1,2,3,5,6) (2,4) (2,6,7) (1,3,4,5,6,7) (1,3,4,6,7) (0,1,4,6) {33,53,47,35,54,15,69,36}</t>
  </si>
  <si>
    <t>[#.##..] (2,3,4) (0,1,2) (0,2,3) (4) (1,5) (0,2,3,5) (2,4) (0,3,4,5) {45,32,65,44,41,30}</t>
  </si>
  <si>
    <t>[#..#.###] (2,4) (0,1,3) (0,1,3,4,6,7) (5,6) (1) (4,6,7) (0,2,3,5) (2,3,4,5) (0,2,5) {28,20,43,14,32,29,16,16}</t>
  </si>
  <si>
    <t>[....##.#.] (0,2,3,4,7) (0,1,2,4,5,6,8) (2,4,5,6,7) (0,3,4,7,8) (0,6) (1,2,4,5,6) (2,3,4,7) {33,23,45,8,46,38,47,23,19}</t>
  </si>
  <si>
    <t>[#.##.##] (0,3) (1) (0,2,4,5) (0,1,3,6) (0,1,2,3,5) (0,1,5,6) (0,2,3,4,5) (0,3,4,6) {91,67,38,63,31,58,44}</t>
  </si>
  <si>
    <t>[###.##] (0,1,3,4,5) (0,2,4,5) (0,1,3) (0,3,4,5) (0,1,2) {150,12,120,30,138,138}</t>
  </si>
  <si>
    <t>[#.....##] (2,3,4,5,6,7) (1,2) (1,2,3,6) (0,6,7) (1,2,3,4,7) (2,3,4,5,7) (7) (0,2,4,5,7) (3,4,7) (2,3,7) {22,23,64,63,33,26,47,77}</t>
  </si>
  <si>
    <t>[.#.#] (3) (0,1,2) (0,3) (0,1) (0) (1,3) {40,26,13,24}</t>
  </si>
  <si>
    <t>[.###] (0,3) (0,2) (0,1) (0,1,3) (2,3) (1,2) {49,50,27,26}</t>
  </si>
  <si>
    <t>[#.###] (1,2,3,4) (0,2,3,4) (0,3) {14,2,13,16,13}</t>
  </si>
  <si>
    <t>[.##.] (0,2,3) (1,3) (0,1,3) (1) (0,2) {35,158,30,18}</t>
  </si>
  <si>
    <t>[#..##] (2,3,4) (0,2) (0,4) (0,2,3,4) (0,1,3) {169,14,161,156,150}</t>
  </si>
  <si>
    <t>[..###.#.##] (0,1,2,4,5,7,8) (0,5,8,9) (4,5,6,7,8,9) (0,3,4,8,9) (2,4,7,9) (3,4,6,7,8,9) (1,2,3,4,6,7,8,9) (0,1,3,4,5,6,7,8) (0,1,4,5,6,8) (2,9) (2,3,5,6,7,8) {59,58,68,84,101,62,85,85,111,80}</t>
  </si>
  <si>
    <t>[..#.####.] (0,1,3,4,6,7) (0,6) (0,2,5) (8) (2,7) (0,1,2,3,5,8) (0,1,2,3,5,6,7,8) (1,2,3,4,6,8) (5,7,8) (0,6,7) (0,1,3,4,5,6,7,8) {76,46,52,46,29,224,63,223,234}</t>
  </si>
  <si>
    <t>[#.#.#.] (1,2,3) (0,1,3,5) (0,4,5) (1,2,5) (1,2,3,4,5) {22,221,214,201,194,221}</t>
  </si>
  <si>
    <t>[##.###...#] (1,5,6,9) (1,4,5,6,9) (0,2) (2,5,6,7,8,9) (2) (3,5,6,7,8) (1,2,3,4,6) (4,5,6,7) (1,2,3,4,7,8,9) (2,3,8) (0,2,3,4,6,7,8) (1,2,3,9) {12,43,64,59,37,64,73,63,47,50}</t>
  </si>
  <si>
    <t>[.#.###] (1,3,4,5) (0,2,5) (4,5) (2,4) (0,2,3,4,5) (2,3,5) (1,5) (0,1,2,3,4) {46,58,68,55,76,80}</t>
  </si>
  <si>
    <t>[..#.###.##] (1,6,7) (0,2,3,7) (0,3,4,5,7) (4,6,7,8,9) (0,1,4,5,6,7,8,9) (2,4,6) (1,3,6,7,9) (1,2,3,4,6,7,8,9) (0,1,2,3,4,5,8) {59,60,53,58,79,39,72,94,67,57}</t>
  </si>
  <si>
    <t>[#####...] (0,1,6) (2,3,4) (0,1,2,7) (1,3,4,5,6,7) (0,6) (2,3,6) (1,4,5,6) (2,3,5) (0,1,3,4,6) (0,1,4,6) {159,82,48,57,75,41,184,35}</t>
  </si>
  <si>
    <t>[.#...##] (1,4,5,6) (0,2,4,5) (1,3) (0,2,3,4,6) (0,2) {35,20,35,14,28,27,8}</t>
  </si>
  <si>
    <t>[.....#] (1,2) (3,4,5) (2,4,5) (2,3) (0,1,3,4,5) (0,4) {9,11,30,31,45,42}</t>
  </si>
  <si>
    <t>[#.##..#..] (0,2,3,6,7,8) (0,3,6) (2,3,4,5,6) (3,4) (0,1,3) (0,3,4,5,7,8) (0,2,5) (0,1,7,8) {84,21,42,87,40,50,45,31,31}</t>
  </si>
  <si>
    <t>[#.#.#..#] (3,5,6,7) (0,1,7) (3,4) (0,1,5,7) (1,2,4) (1,2,5,6) (0,1,4,6) {32,41,9,16,32,10,15,21}</t>
  </si>
  <si>
    <t>[#.#.#.##.] (0,1,5,6,7) (2,3,4,5,7,8) (0,3,5,6,7,8) (0,1,2,3,5,6) (2,3,4,5,6,8) (1,5) (1,2,3,4,5,6) (0,2,3,4) {28,42,49,61,45,80,55,36,38}</t>
  </si>
  <si>
    <t>[##....##.] (1,3,6) (3) (1,3,5,6,7) (0,4,8) (1,4,5,8) (0,2,4,5,6,8) (0,1,2,6,7,8) (0,2,3,4,7,8) (2,6,7,8) (0,2,3,5,6) {42,45,53,210,25,42,71,43,47}</t>
  </si>
  <si>
    <t>[.###] (0,1,3) (0,1) (1,2,3) {14,19,5,6}</t>
  </si>
  <si>
    <t>[##.#####] (1,2,3,4,5,6) (0,1,2,5,6,7) (0,1,3,4,6,7) (0,2,3,5,7) (2,3,5,6,7) (1,2,3,4,7) (1,3,7) (1,2,3,7) {33,69,99,89,29,62,45,95}</t>
  </si>
  <si>
    <t>[.#.###] (2,3) (1,3,4,5) (0,1,2,4,5) (1,2,3,4,5) {4,19,34,33,19,19}</t>
  </si>
  <si>
    <t>[#....] (1,2,3) (0,1,2,3) (3) (0,4) {28,30,30,43,17}</t>
  </si>
  <si>
    <t>[..###] (0,1,2,3) (0,2,4) (0,1,4) {18,9,9,0,18}</t>
  </si>
  <si>
    <t>[##.###] (0,1,2) (0,2,4) (1,3,5) (3,4) (1,3,4) (2,3) (0,4,5) {27,41,43,55,25,23}</t>
  </si>
  <si>
    <t>[....###.##] (1,4,9) (0,2,8) (4,5,7) (0,2,4,5,7,9) (0,2,6,7,8) (1,2,3,4,5,6,7,9) (1,2,4,6,7,8,9) (4) {114,34,129,13,48,16,24,27,116,34}</t>
  </si>
  <si>
    <t>[##.#] (2) (0,1) (0) (2,3) (0,3) {15,3,21,12}</t>
  </si>
  <si>
    <t>[.###] (0,2) (1,2,3) {19,8,27,8}</t>
  </si>
  <si>
    <t>[.####.##] (0,1,2,3,4,6,7) (1,5) (0,1,3,5,6,7) (0,1,2,3,4,5) (0,1,2,4,6,7) (0) (0,2,4,6) (1,4,5,6) (0,1,3,4,5,6,7) {63,57,54,36,68,34,60,32}</t>
  </si>
  <si>
    <t>[##..#] (1,2,3) (0,3) (0,1,4) {18,27,11,13,16}</t>
  </si>
  <si>
    <t>[####.#..##] (1,3,7) (0,2,4,8,9) (2,3) (1,4) (1,2,4,6,8,9) (1,5,6,8) (1,3,5,6,7) (0,1,8) (0,1,2,4,6) (6,9) {22,54,37,11,33,24,59,5,46,34}</t>
  </si>
  <si>
    <t>[#.#...#.] (0,1,2,3,4,6,7) (2,4) (0,1,4,5,6,7) (2,7) (0,2,6) (1,6) (0,3,5) (0,1,2,4,5,7) (1,2,4,6) {53,35,55,20,52,38,31,30}</t>
  </si>
  <si>
    <t>[##.###] (0,2,3,4) (0,1,2,3) (1,4) (0,1,2,4) (0,3,5) {56,35,41,53,35,15}</t>
  </si>
  <si>
    <t>[#######] (0,2,6) (0,3) (0,5) (0,4) (1,2,4) (1,2,6) (1,2) (1,2,3,4) {44,46,55,29,33,13,19}</t>
  </si>
  <si>
    <t>[.#.##..] (0,1,2,5) (3,4,5,6) (2,3) (1,4,5,6) (1,2,5,6) (1,2,3) (3,5) (0,2,4,5,6) {22,58,66,46,18,64,35}</t>
  </si>
  <si>
    <t>[#..#...#.#] (1,5,6,7,8,9) (0,1,5,6,7,8) (0,1,2,3,4,5,6,8) (0,1,3,4,6,7,8,9) (0,1,3,4,5,6,8) (1,4,9) (3,6,7) (0,2,3,4,5,7,8) (0,1,4,6) (3,4,5,6,9) (2,5,8,9) (0,3,6,7) {96,97,36,96,81,95,141,84,99,62}</t>
  </si>
  <si>
    <t>[..##..] (0,1,2,4,5) (2,3) (0,2,4) (1,2,5) {18,14,44,15,18,14}</t>
  </si>
  <si>
    <t>[.#.#..] (0,1,2,4,5) (3,4,5) (2,5) (4,5) (0,1,2,3,5) (0,3) {199,197,217,12,206,227}</t>
  </si>
  <si>
    <t>[..#..#] (1,2,3,5) (1,2,3,4,5) (1,3) (0,1,4) {18,43,20,25,29,20}</t>
  </si>
  <si>
    <t>[#####] (1,2,4) (0,1,3) (0,1,2,4) (0,1) {33,42,29,11,29}</t>
  </si>
  <si>
    <t>[####.] (0,3,4) (1,3,4) (0,1,2,3) {19,30,16,33,17}</t>
  </si>
  <si>
    <t>[##.#.#] (0,2,3,4) (0,1,3,5) (0,1,4,5) (0,1,4) {66,47,19,38,47,33}</t>
  </si>
  <si>
    <t>[#.#.] (0,1) (0,1,3) (0,2) (1,3) {32,27,7,14}</t>
  </si>
  <si>
    <t>[.##..#] (0) (1,4) (0,1,4,5) (0,3) (2,3) (0,1,5) (2,4,5) (1,2) {43,43,40,25,41,33}</t>
  </si>
  <si>
    <t>[#..##.##] (3,4) (0,3,5) (0,1,2) (0,1,3,4,6,7) (5) (2,4,6) (0,3,4,5,6,7) (5,6) (0,2,3,4,6) (1) {63,42,38,57,65,48,70,33}</t>
  </si>
  <si>
    <t>[.#.##...#] (0,2,3,5,6) (3,4,5,6,8) (0,1,2,3,8) (0,5,7) (1,2,3,4,5,7,8) (0,4) (4,5,6,7,8) (1,3,4,5,6,7,8) (0,1,3,4,5,6,7) (2,5,7) {70,26,38,49,43,56,39,33,25}</t>
  </si>
  <si>
    <t>[..###..] (4,6) (0,2) (0,1,2,5,6) (3,5,6) (0,3,4,6) (1,2,3,5,6) (0,3,4) {43,29,48,36,27,34,49}</t>
  </si>
  <si>
    <t>[###.] (0,1) (2,3) (0) (0,1,3) (1,2) {26,18,3,3}</t>
  </si>
  <si>
    <t>[.##.#] (0,3,4) (1,2) (0,2,3) (1,2,4) (1,4) {18,158,172,18,9}</t>
  </si>
  <si>
    <t>[#####] (0) (0,3,4) (0,2,3,4) (0,1,3) (0,1) {20,5,9,13,9}</t>
  </si>
  <si>
    <t>[#.##.#..] (0,3,5) (0,4,6,7) (4,7) (1,2,3,4,6,7) (3) (2,3,4,5,6,7) (0,1,2,4,5) (0,1,2,4,6,7) {59,34,41,45,64,44,41,45}</t>
  </si>
  <si>
    <t>[..#..#...] (4,8) (2,8) (2,4,5,6,7,8) (1,4,6,7) (0,8) (2,3,4,5,6,7,8) (0,3,5,6,7) (3,7,8) (1,3,4,5,6) (2,3,7) {11,32,27,64,63,45,58,58,48}</t>
  </si>
  <si>
    <t>[#...#.###.] (0,1,2,4,5,6,8,9) (2,4,8) (4,7) (0,2,3,4,5,7,8,9) (2,3,4,6,7) (0,1,3,4,5,6,7) (5,6) (3,8) (1,4,5,7,8,9) (0,4,7) (0,1,4,5,7,8) {73,48,38,40,111,68,24,95,68,40}</t>
  </si>
  <si>
    <t>[#..##...] (7) (0,1,3,4,7) (0,1,4,5,6,7) (0,2,3,4,6,7) (0,6) (1,2,4,5,7) (1,2,3,4,5,6) (0,2,3,4,5,7) {39,39,43,30,53,39,34,57}</t>
  </si>
  <si>
    <t>[###.#] (0,1,4) (1,3) (1,3,4) (1,2,3) {6,36,14,30,6}</t>
  </si>
  <si>
    <t>[.#.....#..] (0,2,5,6,9) (0,1,3,9) (0,6) (6,8) (2,3,6,7,8,9) (0,3,4,9) (3,4,7,8,9) (0,1,2,5,6,7,9) (5,6) {62,31,43,64,25,25,64,39,44,87}</t>
  </si>
  <si>
    <t>[.#.#.###.] (0,1,3,4,6,8) (5,8) (0,1,4,5,6,7) (4,6) (1,6) (0,1,2,6) (3,5,6,7,8) (2,3,4,7) (4,7) (1,2,4,5,6,8) {23,40,24,39,79,31,64,44,43}</t>
  </si>
  <si>
    <t>[######...#] (0,3,4,8,9) (0,2,4,6,9) (0,1,2,3,4,5,8,9) (0,1,2,3,5,6,8,9) (2,6,8,9) (0,4,6,7,9) (0,2,4,5,6,7,8) (1,2,5,6,7) (0,1,2,3,8) (0,1,4,5,9) (0,1,2,3,4,5,6,7) {101,92,115,64,73,85,95,42,70,91}</t>
  </si>
  <si>
    <t>[..##....] (1,2,3,5) (0,1,3,4,5,6) (3,4,6) (1,3,6,7) (0,2,4,5,6,7) (0,1,3,5,6) (0,1,4,5) (0,3,4,5,6) (0,1,2,4,5,6,7) {237,237,183,73,236,241,248,188}</t>
  </si>
  <si>
    <t>[.#.#.#....] (0,1,3,4,6) (1,3,7,8) (4,5,6,8) (0,2,3,4,5,7,8,9) (1,6) (0,2,9) (1,2,4,5,6,7,8) (6,7) (0,8) (1,2,3,4,6,8,9) {38,57,52,47,44,26,50,51,59,39}</t>
  </si>
  <si>
    <t>[....###..] (3,4,5,6,7) (1,2,4,5,6,7,8) (0,2,3,4,5,7,8) (3,4,6) (0,4,5,7,8) (0,2,3,6,7) (0,1,2,5,6,7,8) (0,1,2,4,5,6,7,8) (1,2,3,4,5,6,7,8) {61,54,75,56,93,82,95,100,74}</t>
  </si>
  <si>
    <t>[.###] (0,1,3) (0,2) (1,2) {33,27,34,13}</t>
  </si>
  <si>
    <t>[.....#] (2,3,4,5) (0,1,2) (1,2,4) (0,1,4) (0,2,4,5) (3) (5) (0,1,2,3) {44,42,41,26,42,34}</t>
  </si>
  <si>
    <t>[##.#.] (0,1,2,3) (0,3,4) (1,2) (0,4) (0,1,2,4) (1,3,4) (2,3,4) {39,53,43,42,47}</t>
  </si>
  <si>
    <t>[..#.#] (1,3,4) (0,1,2) (0,1,4) (1,2,3,4) {19,25,16,6,9}</t>
  </si>
  <si>
    <t>[#..###.] (1,6) (2,3) (0,1) (0,1,3,4,6) (1,2,4,5,6) (3,4,6) (0,6) (2,3,5) (0,4,5) {43,35,31,31,31,35,50}</t>
  </si>
  <si>
    <t>[.##.##.##] (0,2,3,4,6,7,8) (1,2,3,5) (0,1,2,3) (0,1,3,4,5) (8) (5,7) (0) (0,1,4,6,7) (2,3,5) {34,17,23,37,16,44,2,14,2}</t>
  </si>
  <si>
    <t>[..##..#...] (1,3,6,8,9) (1,2,4,5,8,9) (0,1,3,4,5,6,8,9) (4,6,7,8,9) (0,3,4,5,6,7,8) (2,4,5,7,8,9) (0,4,6) (4,6,7) (0,1,4,7) (1,2,3,4,5,6,8,9) (5,7,8) {31,37,21,46,69,41,66,44,58,39}</t>
  </si>
  <si>
    <t>[#.#.#.....] (3,4,9) (1,2,6) (0,3,6) (6,8,9) (2,5) (0,2,4) (0,1,3,6,7,8,9) (0,4,5) (0,1,2,4,5,6,7,8) (0,2,3,4,5,6,7,9) (0,2,3,5,6,7) (4,8,9) (0,5,9) {63,27,54,28,46,57,54,22,27,38}</t>
  </si>
  <si>
    <t>[##..] (1,3) (3) (2,3) (0,1) {4,11,14,31}</t>
  </si>
  <si>
    <t>[.#.#] (0,1,3) (0,2) (1,3) (1,2) (2) (3) {29,22,24,23}</t>
  </si>
  <si>
    <t>[#.##...] (1,4,5,6) (3,5) (1,2,3,6) (0,1,2,3,6) (2,4,5) (4,5) {18,35,40,224,27,224,35}</t>
  </si>
  <si>
    <t>[##..#..] (0,2,4,6) (0,1,3) (0,1,2,5,6) (4,5,6) (0) (0,1,2,3,5) (0,4,5,6) (0,1,2,4,5) (1,3,4,5) {50,35,16,31,64,66,48}</t>
  </si>
  <si>
    <t>(1,2,6,8)</t>
  </si>
  <si>
    <t>(2,5,6,7)</t>
  </si>
  <si>
    <t>(0,1,2,4,6,7,8)</t>
  </si>
  <si>
    <t>(0,3,4,5,6,8)</t>
  </si>
  <si>
    <t>(1,2,4,6,7)</t>
  </si>
  <si>
    <t>LineaOriginal</t>
  </si>
  <si>
    <t>Patron</t>
  </si>
  <si>
    <t>BotonesTexto</t>
  </si>
  <si>
    <t>(1,2,3,4,5,6,9)</t>
  </si>
  <si>
    <t>(0,1,2)</t>
  </si>
  <si>
    <t>(0,2,3)</t>
  </si>
  <si>
    <t>(0,1,2,3,5)</t>
  </si>
  <si>
    <t>(2,3,5)</t>
  </si>
  <si>
    <t>(2,4,6)</t>
  </si>
  <si>
    <t>(0,2,6)</t>
  </si>
  <si>
    <t>(0,1,3,4,5)</t>
  </si>
  <si>
    <t>(0,1,2,3,4,5)</t>
  </si>
  <si>
    <t>(0,1,2,4,6,9)</t>
  </si>
  <si>
    <t>(0,1,2,3,4,5,6,9)</t>
  </si>
  <si>
    <t>(0,1,2,5,9)</t>
  </si>
  <si>
    <t>(0,1,2,3,7)</t>
  </si>
  <si>
    <t>(0,1,3,6,8)</t>
  </si>
  <si>
    <t>(1,3,4,5,6,9)</t>
  </si>
  <si>
    <t>(1,3,4,5,7,8,9)</t>
  </si>
  <si>
    <t>(1,3,4,6,8)</t>
  </si>
  <si>
    <t>(0,1,4,5,6,9)</t>
  </si>
  <si>
    <t>(1,5,6)</t>
  </si>
  <si>
    <t>(3,4,5,8)</t>
  </si>
  <si>
    <t>(0,1,2,3,5,6,8,9)</t>
  </si>
  <si>
    <t>(0,2,3,9)</t>
  </si>
  <si>
    <t>(0,1,2,3,5,7,9)</t>
  </si>
  <si>
    <t>(0,2,4,5,7,8,9)</t>
  </si>
  <si>
    <t>(0,1,5,7,8)</t>
  </si>
  <si>
    <t>(0,1,3,4,6,7,8,9)</t>
  </si>
  <si>
    <t>(1,4,5,6,8,9)</t>
  </si>
  <si>
    <t>(0,3,9)</t>
  </si>
  <si>
    <t>(0,1,4,7,8,9)</t>
  </si>
  <si>
    <t>(2,4,7)</t>
  </si>
  <si>
    <t>(0,2,3,7,8,9)</t>
  </si>
  <si>
    <t>(0,4,5,6,7,8,9)</t>
  </si>
  <si>
    <t>(0,1,2,4,8)</t>
  </si>
  <si>
    <t>(0,2,5,8)</t>
  </si>
  <si>
    <t>(1,3,4,5,6,7,8)</t>
  </si>
  <si>
    <t>(1,2,3,7)</t>
  </si>
  <si>
    <t>(0,1,2,3,4,5,6,8)</t>
  </si>
  <si>
    <t>(0,1,2,4,6,7)</t>
  </si>
  <si>
    <t>(0,1,2,3,5,6,7,8)</t>
  </si>
  <si>
    <t>(0,1,3,5,7,8)</t>
  </si>
  <si>
    <t>(0,1,3,4,5,7)</t>
  </si>
  <si>
    <t>(0,1,2,4,5,6,8)</t>
  </si>
  <si>
    <t>(1,5,6,7,8)</t>
  </si>
  <si>
    <t>(0,1,5)</t>
  </si>
  <si>
    <t>(0,1,4,5)</t>
  </si>
  <si>
    <t>(0,1,2,3,4)</t>
  </si>
  <si>
    <t>(1,4,5)</t>
  </si>
  <si>
    <t>(0,1,2,3,4,5,6)</t>
  </si>
  <si>
    <t>(0,3,4,5,6,7)</t>
  </si>
  <si>
    <t>(3,4,5)</t>
  </si>
  <si>
    <t>(1,2,3,5,6)</t>
  </si>
  <si>
    <t>(0,1,3,4)</t>
  </si>
  <si>
    <t>(0,1,2,3,6)</t>
  </si>
  <si>
    <t>(0,1,2,5,6)</t>
  </si>
  <si>
    <t>(0,1,3,4,6)</t>
  </si>
  <si>
    <t>(0,2,3,4,5)</t>
  </si>
  <si>
    <t>(2,5,6)</t>
  </si>
  <si>
    <t>(0,1,3,4,6,7,8)</t>
  </si>
  <si>
    <t>(0,2,3,4,5,6,7)</t>
  </si>
  <si>
    <t>(0,1,2,3,4,5,8,9)</t>
  </si>
  <si>
    <t>(1,2,3,4,6,7,8,9)</t>
  </si>
  <si>
    <t>(0,1,2,3,6,7)</t>
  </si>
  <si>
    <t>(0,2,5,9)</t>
  </si>
  <si>
    <t>(3,7,9)</t>
  </si>
  <si>
    <t>(0,1,2,3,4,5,8)</t>
  </si>
  <si>
    <t>(6,8,9)</t>
  </si>
  <si>
    <t>(0,2,4,5,6)</t>
  </si>
  <si>
    <t>(0,2,4)</t>
  </si>
  <si>
    <t>(0,1,2,3,5,6)</t>
  </si>
  <si>
    <t>(0,1,2,4,6)</t>
  </si>
  <si>
    <t>(2,3,4,6)</t>
  </si>
  <si>
    <t>(1,3,6,7,8)</t>
  </si>
  <si>
    <t>(0,4,5,6,7,8)</t>
  </si>
  <si>
    <t>(0,1,2,5,6,8)</t>
  </si>
  <si>
    <t>(2,3,4,6,7,8)</t>
  </si>
  <si>
    <t>(0,3,5,7)</t>
  </si>
  <si>
    <t>(0,1,2,4,7,8)</t>
  </si>
  <si>
    <t>(0,4,7)</t>
  </si>
  <si>
    <t>(0,1,3)</t>
  </si>
  <si>
    <t>(1,3,5,6,7)</t>
  </si>
  <si>
    <t>(1,3,4,6,7)</t>
  </si>
  <si>
    <t>(1,2,3,4,5,6)</t>
  </si>
  <si>
    <t>(0,5,7)</t>
  </si>
  <si>
    <t>(1,4,7)</t>
  </si>
  <si>
    <t>(1,4,6)</t>
  </si>
  <si>
    <t>(0,1,2,6,7)</t>
  </si>
  <si>
    <t>(1,2,3)</t>
  </si>
  <si>
    <t>(0,1,2,3,4,5,7)</t>
  </si>
  <si>
    <t>(0,1,2,7)</t>
  </si>
  <si>
    <t>(0,3,4,5,7)</t>
  </si>
  <si>
    <t>(1,3,6,7)</t>
  </si>
  <si>
    <t>(3,4,6)</t>
  </si>
  <si>
    <t>(0,3,4)</t>
  </si>
  <si>
    <t>(1,2,4)</t>
  </si>
  <si>
    <t>(1,2,5,8)</t>
  </si>
  <si>
    <t>(2,4,6,7,8)</t>
  </si>
  <si>
    <t>(1,4,5,6,7)</t>
  </si>
  <si>
    <t>(1,8,9)</t>
  </si>
  <si>
    <t>(0,1,2,5,6,7,8,9)</t>
  </si>
  <si>
    <t>(1,3,8,9)</t>
  </si>
  <si>
    <t>(2,4,5,6,7,8,9)</t>
  </si>
  <si>
    <t>(0,2,9)</t>
  </si>
  <si>
    <t>(0,2,5,6,8)</t>
  </si>
  <si>
    <t>(1,2,5)</t>
  </si>
  <si>
    <t>(0,1,3,5,6,7,9)</t>
  </si>
  <si>
    <t>(0,1,2,4,7,9)</t>
  </si>
  <si>
    <t>(0,2,4,5,8,9)</t>
  </si>
  <si>
    <t>(0,2,4,6,8,9)</t>
  </si>
  <si>
    <t>(1,6,7,8)</t>
  </si>
  <si>
    <t>(1,2,3,4,5,7,8)</t>
  </si>
  <si>
    <t>(1,4,5,6,7,9)</t>
  </si>
  <si>
    <t>(0,2,3,4,5,6,8,9)</t>
  </si>
  <si>
    <t>(1,2,6)</t>
  </si>
  <si>
    <t>(0,6,8,9)</t>
  </si>
  <si>
    <t>(1,3,7)</t>
  </si>
  <si>
    <t>(4,8,9</t>
  </si>
  <si>
    <t>(2,4,5)</t>
  </si>
  <si>
    <t>(1,2,3,4)</t>
  </si>
  <si>
    <t>(1,3,4,5)</t>
  </si>
  <si>
    <t>(2,3,4)</t>
  </si>
  <si>
    <t>(0,2,3,5)</t>
  </si>
  <si>
    <t>(0,3,4,6,7,8,9)</t>
  </si>
  <si>
    <t>(5,6,8)</t>
  </si>
  <si>
    <t>(0,1,2,3,4,6,9)</t>
  </si>
  <si>
    <t>(1,2,4,5,6,8,9)</t>
  </si>
  <si>
    <t>(0,1,3,8)</t>
  </si>
  <si>
    <t>(1,2,4,8)</t>
  </si>
  <si>
    <t>(0,4,8,9)</t>
  </si>
  <si>
    <t>(0,1,2,3,6,7,8)</t>
  </si>
  <si>
    <t>(0,1,2,4,6,8)</t>
  </si>
  <si>
    <t>(0,1,3,4,9)</t>
  </si>
  <si>
    <t>(0,1,2,6,7,8)</t>
  </si>
  <si>
    <t>(3,5,6,7,8,9)</t>
  </si>
  <si>
    <t>(0,1,2,4)</t>
  </si>
  <si>
    <t>(0,1,2,3,6,8,9)</t>
  </si>
  <si>
    <t>(0,1,2,6)</t>
  </si>
  <si>
    <t>(0,2,3,8)</t>
  </si>
  <si>
    <t>(0,4,5,6,7,9)</t>
  </si>
  <si>
    <t>(0,1,2,4,5,7,8,9)</t>
  </si>
  <si>
    <t>(0,2,6,7)</t>
  </si>
  <si>
    <t>(0,3,4,5,6,7,8)</t>
  </si>
  <si>
    <t>(1,3,5,7,8)</t>
  </si>
  <si>
    <t>(0,1,2,3,4,6,7)</t>
  </si>
  <si>
    <t>(0,1,2,5,6,7,8)</t>
  </si>
  <si>
    <t>(4,5,6,7)</t>
  </si>
  <si>
    <t>(0,1,3,4,5,6,7)</t>
  </si>
  <si>
    <t>(0,2,3,5,7,8)</t>
  </si>
  <si>
    <t>(0,1,2,4,5,7,8)</t>
  </si>
  <si>
    <t>(0,1,3,4,7,8)</t>
  </si>
  <si>
    <t>(0,3,4,5,6,8,9)</t>
  </si>
  <si>
    <t>(0,1,2,3,6,9)</t>
  </si>
  <si>
    <t>(0,1,2,3,4,5,7,9)</t>
  </si>
  <si>
    <t>(2,6,7,8)</t>
  </si>
  <si>
    <t>(2,3,4,5,6,8,9)</t>
  </si>
  <si>
    <t>(1,3,4,6,7,8,9)</t>
  </si>
  <si>
    <t>(0,1,4,6,7,8,9)</t>
  </si>
  <si>
    <t>(3,4,5,7,8,9)</t>
  </si>
  <si>
    <t>(2,6,7,9)</t>
  </si>
  <si>
    <t>(0,1,3,4,5,6,7,8)</t>
  </si>
  <si>
    <t>(1,3,5,6,8)</t>
  </si>
  <si>
    <t>(1,5,6,8,9)</t>
  </si>
  <si>
    <t>(0,6,8)</t>
  </si>
  <si>
    <t>(1,2,4,5,6,7,8,9)</t>
  </si>
  <si>
    <t>(1,3,5,7,8,9)</t>
  </si>
  <si>
    <t>(0,1,4,5,7,8,9)</t>
  </si>
  <si>
    <t>(1,7,8,9)</t>
  </si>
  <si>
    <t>(1,3,4)</t>
  </si>
  <si>
    <t>(0,1,4,8,9)</t>
  </si>
  <si>
    <t>(0,2,3,4,5,7,9)</t>
  </si>
  <si>
    <t>(1,2,3,5,6,8,9)</t>
  </si>
  <si>
    <t>(0,2,4,5,8)</t>
  </si>
  <si>
    <t>(2,4,8)</t>
  </si>
  <si>
    <t>(2,3,6,7)</t>
  </si>
  <si>
    <t>(0,1,4,5,6)</t>
  </si>
  <si>
    <t>(0,1,2,3,4,6,7,8)</t>
  </si>
  <si>
    <t>(0,1,3,5,6,7,8)</t>
  </si>
  <si>
    <t>(0,1,2,3,5,6,7)</t>
  </si>
  <si>
    <t>(1,3,5,6)</t>
  </si>
  <si>
    <t>(0,5,6,7)</t>
  </si>
  <si>
    <t>(0,3,4,5)</t>
  </si>
  <si>
    <t>(1,2,3,4,5)</t>
  </si>
  <si>
    <t>(0,4,5,6)</t>
  </si>
  <si>
    <t>(2,6,7)</t>
  </si>
  <si>
    <t>(2,3,4,5,6,7)</t>
  </si>
  <si>
    <t>(1,2,5,6)</t>
  </si>
  <si>
    <t>(1,2,4,5,6,7)</t>
  </si>
  <si>
    <t>(2,3,5,7,8)</t>
  </si>
  <si>
    <t>(2,3,5,8)</t>
  </si>
  <si>
    <t>(1,3,4,5,6)</t>
  </si>
  <si>
    <t>(1,2,3,4,5,6,7,8)</t>
  </si>
  <si>
    <t>(0,1,2,3,5,7,8)</t>
  </si>
  <si>
    <t>(4,7,8)</t>
  </si>
  <si>
    <t>(0,1,4,5,7)</t>
  </si>
  <si>
    <t>(0,3,5,6)</t>
  </si>
  <si>
    <t>(0,1,2,4,7)</t>
  </si>
  <si>
    <t>(0,2,4,5,6,7,8)</t>
  </si>
  <si>
    <t>(3,5,6)</t>
  </si>
  <si>
    <t>(0,5,6,7,8)</t>
  </si>
  <si>
    <t>(1,2,6,7)</t>
  </si>
  <si>
    <t>(0,3,5,6,8)</t>
  </si>
  <si>
    <t>(0,1,3,5,6)</t>
  </si>
  <si>
    <t>(2,5,6,7,8)</t>
  </si>
  <si>
    <t>(0,4,5)</t>
  </si>
  <si>
    <t>(2,3,4,5)</t>
  </si>
  <si>
    <t>(0,1,2,3)</t>
  </si>
  <si>
    <t>(0,3,4,5,7,9)</t>
  </si>
  <si>
    <t>(2,3,5,6,8,9)</t>
  </si>
  <si>
    <t>(1,5,8,9)</t>
  </si>
  <si>
    <t>(0,4,9)</t>
  </si>
  <si>
    <t>(0,1,5,6,7,8)</t>
  </si>
  <si>
    <t>(0,1,4)</t>
  </si>
  <si>
    <t>(0,2,4,6)</t>
  </si>
  <si>
    <t>(1,3,5,7)</t>
  </si>
  <si>
    <t>(1,3,4,5,6,7)</t>
  </si>
  <si>
    <t>(0,1,4,5,6,7)</t>
  </si>
  <si>
    <t>(0,1,2,4,5,6,7)</t>
  </si>
  <si>
    <t>(0,1,2,3,5,6,8)</t>
  </si>
  <si>
    <t>(0,2,3,4,5,6,7,8)</t>
  </si>
  <si>
    <t>(0,1,8)</t>
  </si>
  <si>
    <t>(0,1,4,5,7,8)</t>
  </si>
  <si>
    <t>(1,2,3,4,5,7)</t>
  </si>
  <si>
    <t>(1,2,4,7)</t>
  </si>
  <si>
    <t>(4,5,6)</t>
  </si>
  <si>
    <t>(1,2,3,5,6,7,8)</t>
  </si>
  <si>
    <t>(1,2,3,7,8)</t>
  </si>
  <si>
    <t>(2,3,4,5,6,7,8)</t>
  </si>
  <si>
    <t>(1,3,4,5,6,8)</t>
  </si>
  <si>
    <t>(5,6,7)</t>
  </si>
  <si>
    <t>(2,4,5,8)</t>
  </si>
  <si>
    <t>(3,5,6,9)</t>
  </si>
  <si>
    <t>(2,4,7,8,9)</t>
  </si>
  <si>
    <t>(2,3,4,5,6)</t>
  </si>
  <si>
    <t>(5,6,7,8)</t>
  </si>
  <si>
    <t>(1,3,6)</t>
  </si>
  <si>
    <t>(0,1,8,9)</t>
  </si>
  <si>
    <t>(0,2,3,4,5,7,8,9)</t>
  </si>
  <si>
    <t>(1,2,3,4,5,7,8,9)</t>
  </si>
  <si>
    <t>(1,2,3,4,5,6,7,8,9)</t>
  </si>
  <si>
    <t>(1,4,5,7)</t>
  </si>
  <si>
    <t>(3,4,5,6)</t>
  </si>
  <si>
    <t>(1,2,4,5)</t>
  </si>
  <si>
    <t>(0,2,3,4)</t>
  </si>
  <si>
    <t>(1,3,5)</t>
  </si>
  <si>
    <t>(0,1,4,6)</t>
  </si>
  <si>
    <t>(0,2,4,5)</t>
  </si>
  <si>
    <t>(1,2,3,5)</t>
  </si>
  <si>
    <t>(0,1,2,3,4,6)</t>
  </si>
  <si>
    <t>(0,1,2,5)</t>
  </si>
  <si>
    <t>(0,3,4,6)</t>
  </si>
  <si>
    <t>(0,2,4,5,6,7,8,9)</t>
  </si>
  <si>
    <t>(0,1,2,3,4,5,6,7,9)</t>
  </si>
  <si>
    <t>(0,3,5,6,7)</t>
  </si>
  <si>
    <t>(0,1,2,3,4,5,7,8)</t>
  </si>
  <si>
    <t>(0,5,7,8,9)</t>
  </si>
  <si>
    <t>(0,1,2,3,4,7,9)</t>
  </si>
  <si>
    <t>(0,1,2,3,	5,6,7,8)</t>
  </si>
  <si>
    <t>(2,3,7)</t>
  </si>
  <si>
    <t>(1,3,4,5,7,8)</t>
  </si>
  <si>
    <t>(0,1,3,4,5,8)</t>
  </si>
  <si>
    <t>(1,3,5,6,7,8)</t>
  </si>
  <si>
    <t>(0,2,7)</t>
  </si>
  <si>
    <t>(1,4,6,7)</t>
  </si>
  <si>
    <t>(0,2,8)</t>
  </si>
  <si>
    <t>(1,2,8)</t>
  </si>
  <si>
    <t>(0,1,3,7)</t>
  </si>
  <si>
    <t>(0,1,3,4,6,7)</t>
  </si>
  <si>
    <t>(4,6,7)</t>
  </si>
  <si>
    <t>(0,2,5)</t>
  </si>
  <si>
    <t>(0,2,3,4,7)</t>
  </si>
  <si>
    <t>(2,4,5,6,7)</t>
  </si>
  <si>
    <t>(0,3,4,7,8)</t>
  </si>
  <si>
    <t>(1,2,4,5,6)</t>
  </si>
  <si>
    <t>(2,3,4,7)</t>
  </si>
  <si>
    <t>(0,1,3,6)</t>
  </si>
  <si>
    <t>(0,1,5,6)</t>
  </si>
  <si>
    <t>(1,2,3,6)</t>
  </si>
  <si>
    <t>(0,6,7)</t>
  </si>
  <si>
    <t>(1,2,3,4,7)</t>
  </si>
  <si>
    <t>(2,3,4,5,7)</t>
  </si>
  <si>
    <t>(0,2,4,5,7)</t>
  </si>
  <si>
    <t>(3,4,7)</t>
  </si>
  <si>
    <t>(0,5,8,9)</t>
  </si>
  <si>
    <t>(4,5,6,7,8,9)</t>
  </si>
  <si>
    <t>(0,3,4,8,9)</t>
  </si>
  <si>
    <t>(2,4,7,9)</t>
  </si>
  <si>
    <t>(3,4,6,7,8,9)</t>
  </si>
  <si>
    <t>(0,1,4,5,6,8)</t>
  </si>
  <si>
    <t>(2,3,5,6,7,8)</t>
  </si>
  <si>
    <t>(0,1,2,3,5,8)</t>
  </si>
  <si>
    <t>(1,2,3,4,6,8)</t>
  </si>
  <si>
    <t>(5,7,8)</t>
  </si>
  <si>
    <t>(0,1,3,5)</t>
  </si>
  <si>
    <t>(1,5,6,9)</t>
  </si>
  <si>
    <t>(1,4,5,6,9)</t>
  </si>
  <si>
    <t>(2,5,6,7,8,9)</t>
  </si>
  <si>
    <t>(3,5,6,7,8)</t>
  </si>
  <si>
    <t>(1,2,3,4,6)</t>
  </si>
  <si>
    <t>(1,2,3,4,7,8,9)</t>
  </si>
  <si>
    <t>(2,3,8)</t>
  </si>
  <si>
    <t>(0,2,3,4,6,7,8)</t>
  </si>
  <si>
    <t>(1,2,3,9)</t>
  </si>
  <si>
    <t>(1,6,7)</t>
  </si>
  <si>
    <t>(0,2,3,7)</t>
  </si>
  <si>
    <t>(4,6,7,8,9)</t>
  </si>
  <si>
    <t>(0,1,4,5,6,7,8,9)</t>
  </si>
  <si>
    <t>(1,3,6,7,9)</t>
  </si>
  <si>
    <t>(0,1,6)</t>
  </si>
  <si>
    <t>(2,3,6)</t>
  </si>
  <si>
    <t>(1,4,5,6)</t>
  </si>
  <si>
    <t>(0,2,3,4,6)</t>
  </si>
  <si>
    <t>(0,2,3,6,7,8)</t>
  </si>
  <si>
    <t>(0,3,6)</t>
  </si>
  <si>
    <t>(0,3,4,5,7,8)</t>
  </si>
  <si>
    <t>(0,1,7,8)</t>
  </si>
  <si>
    <t>(3,5,6,7)</t>
  </si>
  <si>
    <t>(0,1,7)</t>
  </si>
  <si>
    <t>(0,1,5,7)</t>
  </si>
  <si>
    <t>(0,1,5,6,7)</t>
  </si>
  <si>
    <t>(2,3,4,5,7,8)</t>
  </si>
  <si>
    <t>(0,3,5,6,7,8)</t>
  </si>
  <si>
    <t>(2,3,4,5,6,8)</t>
  </si>
  <si>
    <t>(0,4,8)</t>
  </si>
  <si>
    <t>(1,4,5,8)</t>
  </si>
  <si>
    <t>(0,2,4,5,6,8)</t>
  </si>
  <si>
    <t>(0,2,3,4,7,8)</t>
  </si>
  <si>
    <t>(0,2,3,5,6)</t>
  </si>
  <si>
    <t>(0,1,2,5,6,7)</t>
  </si>
  <si>
    <t>(0,2,3,5,7)</t>
  </si>
  <si>
    <t>(2,3,5,6,7)</t>
  </si>
  <si>
    <t>(0,1,2,4,5)</t>
  </si>
  <si>
    <t>(1,4,9)</t>
  </si>
  <si>
    <t>(4,5,7)</t>
  </si>
  <si>
    <t>(0,2,4,5,7,9)</t>
  </si>
  <si>
    <t>(0,2,6,7,8)</t>
  </si>
  <si>
    <t>(1,2,3,4,5,6,7,9)</t>
  </si>
  <si>
    <t>(1,2,4,6,7,8,9)</t>
  </si>
  <si>
    <t>(0,1,3,5,6,7)</t>
  </si>
  <si>
    <t>(0,2,4,8,9)</t>
  </si>
  <si>
    <t>(1,2,4,6,8,9)</t>
  </si>
  <si>
    <t>(1,5,6,8)</t>
  </si>
  <si>
    <t>(0,3,5)</t>
  </si>
  <si>
    <t>(0,1,2,4,5,7)</t>
  </si>
  <si>
    <t>(1,2,4,6)</t>
  </si>
  <si>
    <t>(1,5,6,7,8,9)</t>
  </si>
  <si>
    <t>(0,1,3,4,5,6,8)</t>
  </si>
  <si>
    <t>(3,6,7)</t>
  </si>
  <si>
    <t>(0,2,3,4,5,7,8)</t>
  </si>
  <si>
    <t>(3,4,5,6,9)</t>
  </si>
  <si>
    <t>(2,5,8,9)</t>
  </si>
  <si>
    <t>(0,3,6,7)</t>
  </si>
  <si>
    <t>(3,4,5,6,8)</t>
  </si>
  <si>
    <t>(0,1,2,3,8)</t>
  </si>
  <si>
    <t>(4,5,6,7,8)</t>
  </si>
  <si>
    <t>(2,5,7)</t>
  </si>
  <si>
    <t>(0,4,6,7)</t>
  </si>
  <si>
    <t>(1,2,3,4,6,7)</t>
  </si>
  <si>
    <t>(2,4,5,6,7,8)</t>
  </si>
  <si>
    <t>(3,7,8)</t>
  </si>
  <si>
    <t>(0,1,2,4,5,6,8,9)</t>
  </si>
  <si>
    <t>(2,3,4,6,7)</t>
  </si>
  <si>
    <t>(1,4,5,7,8,9)</t>
  </si>
  <si>
    <t>(0,1,3,4,7)</t>
  </si>
  <si>
    <t>(0,2,3,4,6,7)</t>
  </si>
  <si>
    <t>(1,2,4,5,7)</t>
  </si>
  <si>
    <t>(0,2,3,4,5,7)</t>
  </si>
  <si>
    <t>(0,2,5,6,9)</t>
  </si>
  <si>
    <t>(0,1,3,9)</t>
  </si>
  <si>
    <t>(2,3,6,7,8,9)</t>
  </si>
  <si>
    <t>(0,3,4,9)</t>
  </si>
  <si>
    <t>(3,4,7,8,9)</t>
  </si>
  <si>
    <t>(0,1,2,5,6,7,9)</t>
  </si>
  <si>
    <t>(0,1,3,4,6,8)</t>
  </si>
  <si>
    <t>(1,2,4,5,6,8)</t>
  </si>
  <si>
    <t>(0,2,4,6,9)</t>
  </si>
  <si>
    <t>(2,6,8,9)</t>
  </si>
  <si>
    <t>(0,4,6,7,9)</t>
  </si>
  <si>
    <t>(1,2,5,6,7)</t>
  </si>
  <si>
    <t>(0,1,4,5,9)</t>
  </si>
  <si>
    <t>(0,1,2,3,4,5,6,7)</t>
  </si>
  <si>
    <t>(0,1,3,4,5,6)</t>
  </si>
  <si>
    <t>(0,2,4,5,6,7)</t>
  </si>
  <si>
    <t>(0,3,4,5,6)</t>
  </si>
  <si>
    <t>(1,3,7,8)</t>
  </si>
  <si>
    <t>(4,5,6,8)</t>
  </si>
  <si>
    <t>(1,2,4,5,6,7,8)</t>
  </si>
  <si>
    <t>(1,2,3,4,6,8,9)</t>
  </si>
  <si>
    <t>(3,4,5,6,7)</t>
  </si>
  <si>
    <t>(0,4,5,7,8)</t>
  </si>
  <si>
    <t>(0,2,3,6,7)</t>
  </si>
  <si>
    <t>(0,1,2,4,5,6,7,8)</t>
  </si>
  <si>
    <t>(0,1,4,6,7)</t>
  </si>
  <si>
    <t>(1,3,6,8,9)</t>
  </si>
  <si>
    <t>(1,2,4,5,8,9)</t>
  </si>
  <si>
    <t>(0,1,3,4,5,6,8,9)</t>
  </si>
  <si>
    <t>(2,4,5,7,8,9)</t>
  </si>
  <si>
    <t>(0,4,6)</t>
  </si>
  <si>
    <t>(0,1,4,7)</t>
  </si>
  <si>
    <t>(1,2,3,4,5,6,8,9)</t>
  </si>
  <si>
    <t>(3,4,9)</t>
  </si>
  <si>
    <t>(0,1,3,6,7,8,9)</t>
  </si>
  <si>
    <t>(0,2,3,4,5,6,7,9)</t>
  </si>
  <si>
    <t>(0,2,3,5,6,7)</t>
  </si>
  <si>
    <t>(4,8,9)</t>
  </si>
  <si>
    <t>(0,5,9)</t>
  </si>
  <si>
    <t>(2,4)</t>
  </si>
  <si>
    <t>(1,3)</t>
  </si>
  <si>
    <t>(1,2)</t>
  </si>
  <si>
    <t>(5)</t>
  </si>
  <si>
    <t>(0)</t>
  </si>
  <si>
    <t>(0,2)</t>
  </si>
  <si>
    <t>(1)</t>
  </si>
  <si>
    <t>(0,7)</t>
  </si>
  <si>
    <t>(3,4)</t>
  </si>
  <si>
    <t>(0,3)</t>
  </si>
  <si>
    <t>(3)</t>
  </si>
  <si>
    <t>(2,3)</t>
  </si>
  <si>
    <t>(2)</t>
  </si>
  <si>
    <t>(0,1)</t>
  </si>
  <si>
    <t>(4,6)</t>
  </si>
  <si>
    <t>(4,8)</t>
  </si>
  <si>
    <t>(7)</t>
  </si>
  <si>
    <t>(1,6)</t>
  </si>
  <si>
    <t>(4,5)</t>
  </si>
  <si>
    <t>(1,4)</t>
  </si>
  <si>
    <t>(6)</t>
  </si>
  <si>
    <t>(0,4)</t>
  </si>
  <si>
    <t>(4)</t>
  </si>
  <si>
    <t>(0,6)</t>
  </si>
  <si>
    <t>(1,5)</t>
  </si>
  <si>
    <t>(2,8)</t>
  </si>
  <si>
    <t>(5,8)</t>
  </si>
  <si>
    <t>(3,5)</t>
  </si>
  <si>
    <t/>
  </si>
  <si>
    <t>(2,5)</t>
  </si>
  <si>
    <t>(0,5)</t>
  </si>
  <si>
    <t>(4,7)</t>
  </si>
  <si>
    <t>(3,6)</t>
  </si>
  <si>
    <t>(5,6)</t>
  </si>
  <si>
    <t>(8)</t>
  </si>
  <si>
    <t>(2,7)</t>
  </si>
  <si>
    <t>(6,8)</t>
  </si>
  <si>
    <t>(3,8)</t>
  </si>
  <si>
    <t>(2,6)</t>
  </si>
  <si>
    <t>(0,8)</t>
  </si>
  <si>
    <t>(1,8)</t>
  </si>
  <si>
    <t>(5,7)</t>
  </si>
  <si>
    <t>(3,7)</t>
  </si>
  <si>
    <t>(6,7)</t>
  </si>
  <si>
    <t>(9)</t>
  </si>
  <si>
    <t>(7,8)</t>
  </si>
  <si>
    <t>(2,9)</t>
  </si>
  <si>
    <t>(6,9)</t>
  </si>
  <si>
    <t>(1,3,5,6,7,8,9)</t>
  </si>
  <si>
    <t>(0,1,2,3,4,5,6,	8,9)</t>
  </si>
  <si>
    <t>(1,6,8,9)</t>
  </si>
  <si>
    <t>(3,5,9)</t>
  </si>
  <si>
    <t>Boton 1</t>
  </si>
  <si>
    <t>Boton 2</t>
  </si>
  <si>
    <t>Boton 3</t>
  </si>
  <si>
    <t>Boton 4</t>
  </si>
  <si>
    <t>Boton 5</t>
  </si>
  <si>
    <t>Boton 6</t>
  </si>
  <si>
    <t>Boton 7</t>
  </si>
  <si>
    <t>Boton 8</t>
  </si>
  <si>
    <t>Boton 9</t>
  </si>
  <si>
    <t>Boton 10</t>
  </si>
  <si>
    <t>Boton 11</t>
  </si>
  <si>
    <t>Boton 12</t>
  </si>
  <si>
    <t>Boton 13</t>
  </si>
  <si>
    <t>Boton 14</t>
  </si>
  <si>
    <t>Boton 15</t>
  </si>
  <si>
    <t>Objetivo 1</t>
  </si>
  <si>
    <t>Objetivo 2</t>
  </si>
  <si>
    <t>Objetivo 3</t>
  </si>
  <si>
    <t>Objetivo 4</t>
  </si>
  <si>
    <t>Objetivo 5</t>
  </si>
  <si>
    <t>Objetivo 6</t>
  </si>
  <si>
    <t>Objetivo 7</t>
  </si>
  <si>
    <t>Objetivo 8</t>
  </si>
  <si>
    <t>Objetivo 9</t>
  </si>
  <si>
    <t>Objetivo 10</t>
  </si>
  <si>
    <t>Objetivo 11</t>
  </si>
  <si>
    <t>Objetivo 12</t>
  </si>
  <si>
    <t>Objetivo 13</t>
  </si>
  <si>
    <t>Objetivo 14</t>
  </si>
  <si>
    <t>Objetivo 15</t>
  </si>
  <si>
    <t>Contador 1</t>
  </si>
  <si>
    <t>Contador 0</t>
  </si>
  <si>
    <t>Contador 2</t>
  </si>
  <si>
    <t>Contador 3</t>
  </si>
  <si>
    <t>Contador 4</t>
  </si>
  <si>
    <t>Contador 5</t>
  </si>
  <si>
    <t>Contador 6</t>
  </si>
  <si>
    <t>Contador 7</t>
  </si>
  <si>
    <t>Contador 8</t>
  </si>
  <si>
    <t>Contador 9</t>
  </si>
  <si>
    <t>Contador 10</t>
  </si>
  <si>
    <t>Contador 11</t>
  </si>
  <si>
    <t>Contador 12</t>
  </si>
  <si>
    <t>Contador 13</t>
  </si>
  <si>
    <t>Contador 14</t>
  </si>
  <si>
    <t>Contador 15</t>
  </si>
  <si>
    <t>Contador 16</t>
  </si>
  <si>
    <t>Contador 17</t>
  </si>
  <si>
    <t>Contador 18</t>
  </si>
  <si>
    <t>Contador 19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</si>
  <si>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</si>
  <si>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</si>
  <si>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</si>
  <si>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</si>
  <si>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</si>
  <si>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</si>
  <si>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</si>
  <si>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</si>
  <si>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</si>
  <si>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</si>
  <si>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</si>
  <si>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</si>
  <si>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</si>
  <si>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</si>
  <si>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</si>
  <si>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 xml:space="preserve">58	</t>
  </si>
  <si>
    <t xml:space="preserve">	69</t>
  </si>
  <si>
    <t xml:space="preserve">	198</t>
  </si>
  <si>
    <t>10	3</t>
  </si>
  <si>
    <t xml:space="preserve">62	</t>
  </si>
  <si>
    <t>9	6</t>
  </si>
  <si>
    <t>6	4</t>
  </si>
  <si>
    <t>3	8</t>
  </si>
  <si>
    <t>resultado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</si>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</sst>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put" connectionId="1" xr16:uid="{62195F50-E1C0-8044-AA53-46BF1A9A83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B976-C125-3A41-979C-5493334E9DEA}">
  <dimension ref="A1:K153"/>
  <sheetViews>
    <sheetView workbookViewId="0">
      <selection activeCell="B12" sqref="B12"/>
    </sheetView>
  </sheetViews>
  <sheetFormatPr baseColWidth="10" defaultRowHeight="16" x14ac:dyDescent="0.2"/>
  <cols>
    <col min="1" max="1" width="168.33203125" customWidth="1"/>
    <col min="2" max="2" width="43.5" customWidth="1"/>
    <col min="3" max="3" width="62.83203125" customWidth="1"/>
    <col min="4" max="4" width="37" customWidth="1"/>
    <col min="8" max="8" width="27.1640625" customWidth="1"/>
  </cols>
  <sheetData>
    <row r="1" spans="1:11" x14ac:dyDescent="0.2">
      <c r="A1" t="s">
        <v>0</v>
      </c>
      <c r="B1" t="str">
        <f>MID(A1, SEARCH("{", A1)+1, SEARCH("}", A1)-SEARCH("{", A1)-1)</f>
        <v>8,27,38,16,29,6,33,24,29</v>
      </c>
      <c r="C1" t="str">
        <f>MID(A1, SEARCH("]",A1) +1, SEARCH("{",A1)-SEARCH("]",A1)-1)</f>
        <v xml:space="preserve"> (2,4) (1,2,6,8) (2,5,6,7) (0,1,2,4,6,7,8) (3,8) (0,3,4,5,6,8) (1,2,4,6,7) </v>
      </c>
      <c r="E1">
        <v>-2.4</v>
      </c>
      <c r="F1" t="s">
        <v>308</v>
      </c>
      <c r="G1" t="s">
        <v>309</v>
      </c>
      <c r="H1" t="s">
        <v>310</v>
      </c>
      <c r="I1">
        <v>-3.8</v>
      </c>
      <c r="J1" t="s">
        <v>311</v>
      </c>
      <c r="K1" t="s">
        <v>312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6</v>
      </c>
    </row>
    <row r="8" spans="1:11" x14ac:dyDescent="0.2">
      <c r="A8" t="s">
        <v>135</v>
      </c>
    </row>
    <row r="9" spans="1:11" x14ac:dyDescent="0.2">
      <c r="A9" t="s">
        <v>7</v>
      </c>
    </row>
    <row r="10" spans="1:11" x14ac:dyDescent="0.2">
      <c r="A10" t="s">
        <v>8</v>
      </c>
    </row>
    <row r="11" spans="1:11" x14ac:dyDescent="0.2">
      <c r="A11" t="s">
        <v>9</v>
      </c>
    </row>
    <row r="12" spans="1:11" x14ac:dyDescent="0.2">
      <c r="A12" t="s">
        <v>10</v>
      </c>
    </row>
    <row r="13" spans="1:11" x14ac:dyDescent="0.2">
      <c r="A13" t="s">
        <v>136</v>
      </c>
    </row>
    <row r="14" spans="1:11" x14ac:dyDescent="0.2">
      <c r="A14" t="s">
        <v>12</v>
      </c>
    </row>
    <row r="15" spans="1:11" x14ac:dyDescent="0.2">
      <c r="A15" t="s">
        <v>13</v>
      </c>
    </row>
    <row r="16" spans="1:1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137</v>
      </c>
    </row>
    <row r="22" spans="1:1" x14ac:dyDescent="0.2">
      <c r="A22" t="s">
        <v>138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139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140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141</v>
      </c>
    </row>
    <row r="34" spans="1:1" x14ac:dyDescent="0.2">
      <c r="A34" t="s">
        <v>27</v>
      </c>
    </row>
    <row r="35" spans="1:1" x14ac:dyDescent="0.2">
      <c r="A35" t="s">
        <v>142</v>
      </c>
    </row>
    <row r="36" spans="1:1" x14ac:dyDescent="0.2">
      <c r="A36" t="s">
        <v>143</v>
      </c>
    </row>
    <row r="37" spans="1:1" x14ac:dyDescent="0.2">
      <c r="A37" t="s">
        <v>28</v>
      </c>
    </row>
    <row r="38" spans="1:1" x14ac:dyDescent="0.2">
      <c r="A38" t="s">
        <v>29</v>
      </c>
    </row>
    <row r="39" spans="1:1" x14ac:dyDescent="0.2">
      <c r="A39" t="s">
        <v>30</v>
      </c>
    </row>
    <row r="40" spans="1:1" x14ac:dyDescent="0.2">
      <c r="A40" t="s">
        <v>31</v>
      </c>
    </row>
    <row r="41" spans="1:1" x14ac:dyDescent="0.2">
      <c r="A41" t="s">
        <v>32</v>
      </c>
    </row>
    <row r="42" spans="1:1" x14ac:dyDescent="0.2">
      <c r="A42" t="s">
        <v>33</v>
      </c>
    </row>
    <row r="43" spans="1:1" x14ac:dyDescent="0.2">
      <c r="A43" t="s">
        <v>34</v>
      </c>
    </row>
    <row r="44" spans="1:1" x14ac:dyDescent="0.2">
      <c r="A44" t="s">
        <v>35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38</v>
      </c>
    </row>
    <row r="48" spans="1:1" x14ac:dyDescent="0.2">
      <c r="A48" t="s">
        <v>39</v>
      </c>
    </row>
    <row r="49" spans="1:3" x14ac:dyDescent="0.2">
      <c r="A49" t="s">
        <v>40</v>
      </c>
    </row>
    <row r="50" spans="1:3" x14ac:dyDescent="0.2">
      <c r="A50" t="s">
        <v>41</v>
      </c>
    </row>
    <row r="51" spans="1:3" x14ac:dyDescent="0.2">
      <c r="A51" t="s">
        <v>42</v>
      </c>
    </row>
    <row r="52" spans="1:3" x14ac:dyDescent="0.2">
      <c r="A52" t="s">
        <v>43</v>
      </c>
    </row>
    <row r="53" spans="1:3" x14ac:dyDescent="0.2">
      <c r="A53" t="s">
        <v>44</v>
      </c>
    </row>
    <row r="54" spans="1:3" x14ac:dyDescent="0.2">
      <c r="A54" t="s">
        <v>45</v>
      </c>
    </row>
    <row r="55" spans="1:3" x14ac:dyDescent="0.2">
      <c r="A55" t="s">
        <v>144</v>
      </c>
      <c r="C55" t="s">
        <v>46</v>
      </c>
    </row>
    <row r="56" spans="1:3" x14ac:dyDescent="0.2">
      <c r="A56" t="s">
        <v>47</v>
      </c>
    </row>
    <row r="57" spans="1:3" x14ac:dyDescent="0.2">
      <c r="A57" t="s">
        <v>48</v>
      </c>
    </row>
    <row r="58" spans="1:3" x14ac:dyDescent="0.2">
      <c r="A58" t="s">
        <v>145</v>
      </c>
    </row>
    <row r="59" spans="1:3" x14ac:dyDescent="0.2">
      <c r="A59" t="s">
        <v>49</v>
      </c>
    </row>
    <row r="60" spans="1:3" x14ac:dyDescent="0.2">
      <c r="A60" t="s">
        <v>50</v>
      </c>
    </row>
    <row r="61" spans="1:3" x14ac:dyDescent="0.2">
      <c r="A61" t="s">
        <v>51</v>
      </c>
    </row>
    <row r="62" spans="1:3" x14ac:dyDescent="0.2">
      <c r="A62" t="s">
        <v>52</v>
      </c>
    </row>
    <row r="63" spans="1:3" x14ac:dyDescent="0.2">
      <c r="A63" t="s">
        <v>53</v>
      </c>
    </row>
    <row r="64" spans="1:3" x14ac:dyDescent="0.2">
      <c r="A64" t="s">
        <v>54</v>
      </c>
    </row>
    <row r="65" spans="1:1" x14ac:dyDescent="0.2">
      <c r="A65" t="s">
        <v>55</v>
      </c>
    </row>
    <row r="66" spans="1:1" x14ac:dyDescent="0.2">
      <c r="A66" t="s">
        <v>56</v>
      </c>
    </row>
    <row r="67" spans="1:1" x14ac:dyDescent="0.2">
      <c r="A67" t="s">
        <v>57</v>
      </c>
    </row>
    <row r="68" spans="1:1" x14ac:dyDescent="0.2">
      <c r="A68" t="s">
        <v>58</v>
      </c>
    </row>
    <row r="69" spans="1:1" x14ac:dyDescent="0.2">
      <c r="A69" t="s">
        <v>59</v>
      </c>
    </row>
    <row r="70" spans="1:1" x14ac:dyDescent="0.2">
      <c r="A70" t="s">
        <v>60</v>
      </c>
    </row>
    <row r="71" spans="1:1" x14ac:dyDescent="0.2">
      <c r="A71" t="s">
        <v>146</v>
      </c>
    </row>
    <row r="72" spans="1:1" x14ac:dyDescent="0.2">
      <c r="A72" t="s">
        <v>61</v>
      </c>
    </row>
    <row r="73" spans="1:1" x14ac:dyDescent="0.2">
      <c r="A73" t="s">
        <v>62</v>
      </c>
    </row>
    <row r="74" spans="1:1" x14ac:dyDescent="0.2">
      <c r="A74" t="s">
        <v>63</v>
      </c>
    </row>
    <row r="75" spans="1:1" x14ac:dyDescent="0.2">
      <c r="A75" t="s">
        <v>64</v>
      </c>
    </row>
    <row r="76" spans="1:1" x14ac:dyDescent="0.2">
      <c r="A76" t="s">
        <v>65</v>
      </c>
    </row>
    <row r="77" spans="1:1" x14ac:dyDescent="0.2">
      <c r="A77" t="s">
        <v>66</v>
      </c>
    </row>
    <row r="78" spans="1:1" x14ac:dyDescent="0.2">
      <c r="A78" t="s">
        <v>67</v>
      </c>
    </row>
    <row r="79" spans="1:1" x14ac:dyDescent="0.2">
      <c r="A79" t="s">
        <v>68</v>
      </c>
    </row>
    <row r="80" spans="1:1" x14ac:dyDescent="0.2">
      <c r="A80" t="s">
        <v>69</v>
      </c>
    </row>
    <row r="81" spans="1:1" x14ac:dyDescent="0.2">
      <c r="A81" t="s">
        <v>70</v>
      </c>
    </row>
    <row r="82" spans="1: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  <row r="86" spans="1:1" x14ac:dyDescent="0.2">
      <c r="A86" t="s">
        <v>75</v>
      </c>
    </row>
    <row r="87" spans="1:1" x14ac:dyDescent="0.2">
      <c r="A87" t="s">
        <v>147</v>
      </c>
    </row>
    <row r="88" spans="1:1" x14ac:dyDescent="0.2">
      <c r="A88" t="s">
        <v>76</v>
      </c>
    </row>
    <row r="89" spans="1:1" x14ac:dyDescent="0.2">
      <c r="A89" t="s">
        <v>77</v>
      </c>
    </row>
    <row r="90" spans="1:1" x14ac:dyDescent="0.2">
      <c r="A90" t="s">
        <v>148</v>
      </c>
    </row>
    <row r="91" spans="1:1" x14ac:dyDescent="0.2">
      <c r="A91" t="s">
        <v>78</v>
      </c>
    </row>
    <row r="92" spans="1:1" x14ac:dyDescent="0.2">
      <c r="A92" t="s">
        <v>79</v>
      </c>
    </row>
    <row r="93" spans="1:1" x14ac:dyDescent="0.2">
      <c r="A93" t="s">
        <v>80</v>
      </c>
    </row>
    <row r="94" spans="1:1" x14ac:dyDescent="0.2">
      <c r="A94" t="s">
        <v>81</v>
      </c>
    </row>
    <row r="95" spans="1:1" x14ac:dyDescent="0.2">
      <c r="A95" t="s">
        <v>82</v>
      </c>
    </row>
    <row r="96" spans="1:1" x14ac:dyDescent="0.2">
      <c r="A96" t="s">
        <v>83</v>
      </c>
    </row>
    <row r="97" spans="1:1" x14ac:dyDescent="0.2">
      <c r="A97" t="s">
        <v>84</v>
      </c>
    </row>
    <row r="98" spans="1:1" x14ac:dyDescent="0.2">
      <c r="A98" t="s">
        <v>85</v>
      </c>
    </row>
    <row r="99" spans="1:1" x14ac:dyDescent="0.2">
      <c r="A99" t="s">
        <v>86</v>
      </c>
    </row>
    <row r="100" spans="1:1" x14ac:dyDescent="0.2">
      <c r="A100" t="s">
        <v>87</v>
      </c>
    </row>
    <row r="101" spans="1:1" x14ac:dyDescent="0.2">
      <c r="A101" t="s">
        <v>88</v>
      </c>
    </row>
    <row r="102" spans="1:1" x14ac:dyDescent="0.2">
      <c r="A102" t="s">
        <v>89</v>
      </c>
    </row>
    <row r="103" spans="1:1" x14ac:dyDescent="0.2">
      <c r="A103" t="s">
        <v>90</v>
      </c>
    </row>
    <row r="104" spans="1:1" x14ac:dyDescent="0.2">
      <c r="A104" t="s">
        <v>91</v>
      </c>
    </row>
    <row r="105" spans="1:1" x14ac:dyDescent="0.2">
      <c r="A105" t="s">
        <v>92</v>
      </c>
    </row>
    <row r="106" spans="1:1" x14ac:dyDescent="0.2">
      <c r="A106" t="s">
        <v>93</v>
      </c>
    </row>
    <row r="107" spans="1:1" x14ac:dyDescent="0.2">
      <c r="A107" t="s">
        <v>94</v>
      </c>
    </row>
    <row r="108" spans="1:1" x14ac:dyDescent="0.2">
      <c r="A108" t="s">
        <v>95</v>
      </c>
    </row>
    <row r="109" spans="1:1" x14ac:dyDescent="0.2">
      <c r="A109" t="s">
        <v>96</v>
      </c>
    </row>
    <row r="110" spans="1:1" x14ac:dyDescent="0.2">
      <c r="A110" t="s">
        <v>97</v>
      </c>
    </row>
    <row r="111" spans="1:1" x14ac:dyDescent="0.2">
      <c r="A111" t="s">
        <v>98</v>
      </c>
    </row>
    <row r="112" spans="1:1" x14ac:dyDescent="0.2">
      <c r="A112" t="s">
        <v>99</v>
      </c>
    </row>
    <row r="113" spans="1:1" x14ac:dyDescent="0.2">
      <c r="A113" t="s">
        <v>100</v>
      </c>
    </row>
    <row r="114" spans="1:1" x14ac:dyDescent="0.2">
      <c r="A114" t="s">
        <v>101</v>
      </c>
    </row>
    <row r="115" spans="1:1" x14ac:dyDescent="0.2">
      <c r="A115" t="s">
        <v>102</v>
      </c>
    </row>
    <row r="116" spans="1:1" x14ac:dyDescent="0.2">
      <c r="A116" t="s">
        <v>149</v>
      </c>
    </row>
    <row r="117" spans="1:1" x14ac:dyDescent="0.2">
      <c r="A117" t="s">
        <v>103</v>
      </c>
    </row>
    <row r="118" spans="1:1" x14ac:dyDescent="0.2">
      <c r="A118" t="s">
        <v>104</v>
      </c>
    </row>
    <row r="119" spans="1:1" x14ac:dyDescent="0.2">
      <c r="A119" t="s">
        <v>105</v>
      </c>
    </row>
    <row r="120" spans="1:1" x14ac:dyDescent="0.2">
      <c r="A120" t="s">
        <v>106</v>
      </c>
    </row>
    <row r="121" spans="1:1" x14ac:dyDescent="0.2">
      <c r="A121" t="s">
        <v>107</v>
      </c>
    </row>
    <row r="122" spans="1:1" x14ac:dyDescent="0.2">
      <c r="A122" t="s">
        <v>108</v>
      </c>
    </row>
    <row r="123" spans="1:1" x14ac:dyDescent="0.2">
      <c r="A123" t="s">
        <v>109</v>
      </c>
    </row>
    <row r="124" spans="1:1" x14ac:dyDescent="0.2">
      <c r="A124" t="s">
        <v>110</v>
      </c>
    </row>
    <row r="125" spans="1:1" x14ac:dyDescent="0.2">
      <c r="A125" t="s">
        <v>111</v>
      </c>
    </row>
    <row r="126" spans="1:1" x14ac:dyDescent="0.2">
      <c r="A126" t="s">
        <v>112</v>
      </c>
    </row>
    <row r="127" spans="1:1" x14ac:dyDescent="0.2">
      <c r="A127" t="s">
        <v>113</v>
      </c>
    </row>
    <row r="128" spans="1:1" x14ac:dyDescent="0.2">
      <c r="A128" t="s">
        <v>114</v>
      </c>
    </row>
    <row r="129" spans="1:1" x14ac:dyDescent="0.2">
      <c r="A129" t="s">
        <v>115</v>
      </c>
    </row>
    <row r="130" spans="1:1" x14ac:dyDescent="0.2">
      <c r="A130" t="s">
        <v>116</v>
      </c>
    </row>
    <row r="131" spans="1:1" x14ac:dyDescent="0.2">
      <c r="A131" t="s">
        <v>117</v>
      </c>
    </row>
    <row r="132" spans="1:1" x14ac:dyDescent="0.2">
      <c r="A132" t="s">
        <v>118</v>
      </c>
    </row>
    <row r="133" spans="1:1" x14ac:dyDescent="0.2">
      <c r="A133" t="s">
        <v>150</v>
      </c>
    </row>
    <row r="134" spans="1:1" x14ac:dyDescent="0.2">
      <c r="A134" t="s">
        <v>119</v>
      </c>
    </row>
    <row r="135" spans="1:1" x14ac:dyDescent="0.2">
      <c r="A135" t="s">
        <v>120</v>
      </c>
    </row>
    <row r="136" spans="1:1" x14ac:dyDescent="0.2">
      <c r="A136" t="s">
        <v>121</v>
      </c>
    </row>
    <row r="137" spans="1:1" x14ac:dyDescent="0.2">
      <c r="A137" t="s">
        <v>122</v>
      </c>
    </row>
    <row r="138" spans="1:1" x14ac:dyDescent="0.2">
      <c r="A138" t="s">
        <v>151</v>
      </c>
    </row>
    <row r="139" spans="1:1" x14ac:dyDescent="0.2">
      <c r="A139" t="s">
        <v>123</v>
      </c>
    </row>
    <row r="140" spans="1:1" x14ac:dyDescent="0.2">
      <c r="A140" t="s">
        <v>124</v>
      </c>
    </row>
    <row r="141" spans="1:1" x14ac:dyDescent="0.2">
      <c r="A141" t="s">
        <v>152</v>
      </c>
    </row>
    <row r="142" spans="1:1" x14ac:dyDescent="0.2">
      <c r="A142" t="s">
        <v>125</v>
      </c>
    </row>
    <row r="143" spans="1:1" x14ac:dyDescent="0.2">
      <c r="A143" t="s">
        <v>126</v>
      </c>
    </row>
    <row r="144" spans="1:1" x14ac:dyDescent="0.2">
      <c r="A144" t="s">
        <v>127</v>
      </c>
    </row>
    <row r="145" spans="1:1" x14ac:dyDescent="0.2">
      <c r="A145" t="s">
        <v>128</v>
      </c>
    </row>
    <row r="146" spans="1:1" x14ac:dyDescent="0.2">
      <c r="A146" t="s">
        <v>129</v>
      </c>
    </row>
    <row r="147" spans="1:1" x14ac:dyDescent="0.2">
      <c r="A147" t="s">
        <v>130</v>
      </c>
    </row>
    <row r="148" spans="1:1" x14ac:dyDescent="0.2">
      <c r="A148" t="s">
        <v>153</v>
      </c>
    </row>
    <row r="149" spans="1:1" x14ac:dyDescent="0.2">
      <c r="A149" t="s">
        <v>154</v>
      </c>
    </row>
    <row r="150" spans="1:1" x14ac:dyDescent="0.2">
      <c r="A150" t="s">
        <v>131</v>
      </c>
    </row>
    <row r="151" spans="1:1" x14ac:dyDescent="0.2">
      <c r="A151" t="s">
        <v>132</v>
      </c>
    </row>
    <row r="152" spans="1:1" x14ac:dyDescent="0.2">
      <c r="A152" t="s">
        <v>133</v>
      </c>
    </row>
    <row r="153" spans="1:1" x14ac:dyDescent="0.2">
      <c r="A153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0EE3-E078-CC4B-B310-E25889026E1B}">
  <dimension ref="A1:AP161"/>
  <sheetViews>
    <sheetView topLeftCell="A128" zoomScale="75" workbookViewId="0">
      <selection activeCell="A158" sqref="A158"/>
    </sheetView>
  </sheetViews>
  <sheetFormatPr baseColWidth="10" defaultRowHeight="16" x14ac:dyDescent="0.2"/>
  <cols>
    <col min="1" max="1" width="167.6640625" customWidth="1"/>
    <col min="2" max="2" width="26.5" customWidth="1"/>
    <col min="3" max="3" width="60.33203125" customWidth="1"/>
    <col min="4" max="4" width="34.5" customWidth="1"/>
    <col min="5" max="5" width="25.5" customWidth="1"/>
    <col min="6" max="6" width="30.83203125" customWidth="1"/>
    <col min="7" max="7" width="29.33203125" customWidth="1"/>
    <col min="8" max="8" width="35.1640625" customWidth="1"/>
    <col min="9" max="9" width="22.6640625" customWidth="1"/>
    <col min="10" max="10" width="19.5" customWidth="1"/>
    <col min="11" max="11" width="24.5" customWidth="1"/>
    <col min="12" max="12" width="25.33203125" customWidth="1"/>
    <col min="13" max="13" width="31.33203125" customWidth="1"/>
    <col min="14" max="15" width="30.33203125" customWidth="1"/>
    <col min="33" max="33" width="52.83203125" customWidth="1"/>
  </cols>
  <sheetData>
    <row r="1" spans="1:42" x14ac:dyDescent="0.2">
      <c r="A1" t="s">
        <v>313</v>
      </c>
      <c r="B1" t="s">
        <v>314</v>
      </c>
      <c r="D1" t="s">
        <v>315</v>
      </c>
      <c r="H1" t="str">
        <f>IF(C2="","",SUBSTITUTE(C2,"_(","("))</f>
        <v>(2,4)</v>
      </c>
    </row>
    <row r="2" spans="1:42" ht="17" x14ac:dyDescent="0.2">
      <c r="A2" t="s">
        <v>0</v>
      </c>
      <c r="B2" t="str">
        <f>IFERROR(
  MID(
    A2,
    SEARCH("[",A2)+1,
    SEARCH("]",A2)-SEARCH("[",A2)-1
  ),
  ""
)</f>
        <v>#.......#</v>
      </c>
      <c r="C2" t="s">
        <v>720</v>
      </c>
      <c r="D2" s="1" t="s">
        <v>308</v>
      </c>
      <c r="E2" t="s">
        <v>309</v>
      </c>
      <c r="F2" t="s">
        <v>310</v>
      </c>
      <c r="G2" t="s">
        <v>757</v>
      </c>
      <c r="H2" t="s">
        <v>311</v>
      </c>
      <c r="I2" t="s">
        <v>312</v>
      </c>
      <c r="J2" t="s">
        <v>748</v>
      </c>
      <c r="K2" t="s">
        <v>748</v>
      </c>
      <c r="L2" t="s">
        <v>748</v>
      </c>
      <c r="M2" t="s">
        <v>748</v>
      </c>
      <c r="N2" t="s">
        <v>748</v>
      </c>
      <c r="AG2">
        <v>8</v>
      </c>
      <c r="AH2">
        <v>27</v>
      </c>
      <c r="AI2">
        <v>38</v>
      </c>
      <c r="AJ2">
        <v>16</v>
      </c>
      <c r="AK2">
        <v>29</v>
      </c>
      <c r="AL2">
        <v>6</v>
      </c>
      <c r="AM2">
        <v>33</v>
      </c>
      <c r="AN2">
        <v>24</v>
      </c>
      <c r="AO2">
        <v>29</v>
      </c>
    </row>
    <row r="3" spans="1:42" ht="17" x14ac:dyDescent="0.2">
      <c r="A3" t="s">
        <v>1</v>
      </c>
      <c r="B3" t="str">
        <f t="shared" ref="B3:B66" si="0">IFERROR(
  MID(
    A3,
    SEARCH("[",A3)+1,
    SEARCH("]",A3)-SEARCH("[",A3)-1
  ),
  ""
)</f>
        <v>###.</v>
      </c>
      <c r="C3" t="s">
        <v>317</v>
      </c>
      <c r="D3" s="1" t="s">
        <v>318</v>
      </c>
      <c r="E3" t="s">
        <v>721</v>
      </c>
      <c r="F3" t="s">
        <v>748</v>
      </c>
      <c r="G3" t="s">
        <v>748</v>
      </c>
      <c r="H3" t="s">
        <v>748</v>
      </c>
      <c r="I3" t="s">
        <v>748</v>
      </c>
      <c r="J3" t="s">
        <v>748</v>
      </c>
      <c r="K3" t="s">
        <v>748</v>
      </c>
      <c r="L3" t="s">
        <v>748</v>
      </c>
      <c r="M3" t="s">
        <v>748</v>
      </c>
      <c r="N3" t="s">
        <v>748</v>
      </c>
      <c r="AG3">
        <v>27</v>
      </c>
      <c r="AH3">
        <v>12</v>
      </c>
      <c r="AI3">
        <v>27</v>
      </c>
      <c r="AJ3">
        <v>21</v>
      </c>
    </row>
    <row r="4" spans="1:42" ht="17" x14ac:dyDescent="0.2">
      <c r="A4" t="s">
        <v>2</v>
      </c>
      <c r="B4" t="str">
        <f t="shared" si="0"/>
        <v>.#.#</v>
      </c>
      <c r="C4" t="s">
        <v>721</v>
      </c>
      <c r="D4" s="1" t="s">
        <v>317</v>
      </c>
      <c r="E4" t="s">
        <v>748</v>
      </c>
      <c r="F4" t="s">
        <v>748</v>
      </c>
      <c r="G4" t="s">
        <v>748</v>
      </c>
      <c r="H4" t="s">
        <v>748</v>
      </c>
      <c r="I4" t="s">
        <v>748</v>
      </c>
      <c r="J4" t="s">
        <v>748</v>
      </c>
      <c r="K4" t="s">
        <v>748</v>
      </c>
      <c r="L4" t="s">
        <v>748</v>
      </c>
      <c r="M4" t="s">
        <v>748</v>
      </c>
      <c r="N4" t="s">
        <v>748</v>
      </c>
      <c r="AG4">
        <v>159</v>
      </c>
      <c r="AH4">
        <v>164</v>
      </c>
      <c r="AI4">
        <v>159</v>
      </c>
      <c r="AJ4">
        <v>5</v>
      </c>
    </row>
    <row r="5" spans="1:42" ht="17" x14ac:dyDescent="0.2">
      <c r="A5" t="s">
        <v>3</v>
      </c>
      <c r="B5" t="str">
        <f t="shared" si="0"/>
        <v>.###.##</v>
      </c>
      <c r="C5" t="s">
        <v>722</v>
      </c>
      <c r="D5" s="1" t="s">
        <v>319</v>
      </c>
      <c r="E5" t="s">
        <v>320</v>
      </c>
      <c r="F5" t="s">
        <v>321</v>
      </c>
      <c r="G5" t="s">
        <v>322</v>
      </c>
      <c r="H5" t="s">
        <v>323</v>
      </c>
      <c r="I5" t="s">
        <v>324</v>
      </c>
      <c r="J5" t="s">
        <v>748</v>
      </c>
      <c r="K5" t="s">
        <v>748</v>
      </c>
      <c r="L5" t="s">
        <v>748</v>
      </c>
      <c r="M5" t="s">
        <v>748</v>
      </c>
      <c r="N5" t="s">
        <v>748</v>
      </c>
      <c r="AG5">
        <v>174</v>
      </c>
      <c r="AH5">
        <v>170</v>
      </c>
      <c r="AI5">
        <v>59</v>
      </c>
      <c r="AJ5">
        <v>170</v>
      </c>
      <c r="AK5">
        <v>162</v>
      </c>
      <c r="AL5">
        <v>170</v>
      </c>
      <c r="AM5">
        <v>26</v>
      </c>
    </row>
    <row r="6" spans="1:42" ht="17" x14ac:dyDescent="0.2">
      <c r="A6" t="s">
        <v>4</v>
      </c>
      <c r="B6" t="str">
        <f t="shared" si="0"/>
        <v>...##..##.</v>
      </c>
      <c r="C6" t="s">
        <v>325</v>
      </c>
      <c r="D6" s="1" t="s">
        <v>326</v>
      </c>
      <c r="E6" t="s">
        <v>327</v>
      </c>
      <c r="F6" t="s">
        <v>328</v>
      </c>
      <c r="G6" t="s">
        <v>329</v>
      </c>
      <c r="H6" t="s">
        <v>747</v>
      </c>
      <c r="I6" t="s">
        <v>330</v>
      </c>
      <c r="J6" t="s">
        <v>331</v>
      </c>
      <c r="K6" t="s">
        <v>748</v>
      </c>
      <c r="L6" t="s">
        <v>748</v>
      </c>
      <c r="M6" t="s">
        <v>748</v>
      </c>
      <c r="N6" t="s">
        <v>748</v>
      </c>
      <c r="AG6">
        <v>37</v>
      </c>
      <c r="AH6">
        <v>46</v>
      </c>
      <c r="AI6">
        <v>35</v>
      </c>
      <c r="AJ6">
        <v>37</v>
      </c>
      <c r="AK6">
        <v>24</v>
      </c>
      <c r="AL6">
        <v>37</v>
      </c>
      <c r="AM6">
        <v>19</v>
      </c>
      <c r="AN6">
        <v>16</v>
      </c>
      <c r="AO6">
        <v>9</v>
      </c>
      <c r="AP6">
        <v>35</v>
      </c>
    </row>
    <row r="7" spans="1:42" ht="17" x14ac:dyDescent="0.2">
      <c r="A7" t="s">
        <v>5</v>
      </c>
      <c r="B7" t="str">
        <f t="shared" si="0"/>
        <v>#...#.####</v>
      </c>
      <c r="C7" t="s">
        <v>332</v>
      </c>
      <c r="D7" s="1" t="s">
        <v>333</v>
      </c>
      <c r="E7" t="s">
        <v>334</v>
      </c>
      <c r="F7" t="s">
        <v>335</v>
      </c>
      <c r="G7" t="s">
        <v>336</v>
      </c>
      <c r="H7" t="s">
        <v>337</v>
      </c>
      <c r="I7" t="s">
        <v>338</v>
      </c>
      <c r="J7" t="s">
        <v>339</v>
      </c>
      <c r="K7" t="s">
        <v>340</v>
      </c>
      <c r="L7" t="s">
        <v>748</v>
      </c>
      <c r="M7" t="s">
        <v>748</v>
      </c>
      <c r="N7" t="s">
        <v>748</v>
      </c>
      <c r="AG7">
        <v>58</v>
      </c>
      <c r="AH7">
        <v>53</v>
      </c>
      <c r="AI7">
        <v>44</v>
      </c>
      <c r="AJ7">
        <v>44</v>
      </c>
      <c r="AK7">
        <v>10</v>
      </c>
      <c r="AL7">
        <v>63</v>
      </c>
      <c r="AM7">
        <v>26</v>
      </c>
      <c r="AN7">
        <v>32</v>
      </c>
      <c r="AO7">
        <v>38</v>
      </c>
      <c r="AP7">
        <v>44</v>
      </c>
    </row>
    <row r="8" spans="1:42" ht="17" x14ac:dyDescent="0.2">
      <c r="A8" t="s">
        <v>6</v>
      </c>
      <c r="B8" t="str">
        <f t="shared" si="0"/>
        <v>.....##..#</v>
      </c>
      <c r="C8" t="s">
        <v>341</v>
      </c>
      <c r="D8" s="1" t="s">
        <v>342</v>
      </c>
      <c r="E8" t="s">
        <v>343</v>
      </c>
      <c r="F8" t="s">
        <v>344</v>
      </c>
      <c r="G8" t="s">
        <v>345</v>
      </c>
      <c r="H8" t="s">
        <v>760</v>
      </c>
      <c r="I8" t="s">
        <v>346</v>
      </c>
      <c r="J8" t="s">
        <v>347</v>
      </c>
      <c r="K8" t="s">
        <v>348</v>
      </c>
      <c r="L8" t="s">
        <v>748</v>
      </c>
      <c r="M8" t="s">
        <v>748</v>
      </c>
      <c r="N8" t="s">
        <v>748</v>
      </c>
      <c r="AG8">
        <v>33</v>
      </c>
      <c r="AH8">
        <v>42</v>
      </c>
      <c r="AI8">
        <v>33</v>
      </c>
      <c r="AJ8">
        <v>14</v>
      </c>
      <c r="AK8">
        <v>58</v>
      </c>
      <c r="AL8">
        <v>14</v>
      </c>
      <c r="AM8">
        <v>26</v>
      </c>
      <c r="AN8">
        <v>32</v>
      </c>
      <c r="AO8">
        <v>46</v>
      </c>
      <c r="AP8">
        <v>28</v>
      </c>
    </row>
    <row r="9" spans="1:42" ht="17" x14ac:dyDescent="0.2">
      <c r="A9" t="s">
        <v>135</v>
      </c>
      <c r="B9" t="str">
        <f t="shared" si="0"/>
        <v>....#..#.</v>
      </c>
      <c r="C9" t="s">
        <v>349</v>
      </c>
      <c r="D9" s="1" t="s">
        <v>350</v>
      </c>
      <c r="E9" t="s">
        <v>351</v>
      </c>
      <c r="F9" t="s">
        <v>352</v>
      </c>
      <c r="G9" t="s">
        <v>353</v>
      </c>
      <c r="H9" t="s">
        <v>354</v>
      </c>
      <c r="I9" t="s">
        <v>724</v>
      </c>
      <c r="J9" t="s">
        <v>355</v>
      </c>
      <c r="K9" t="s">
        <v>356</v>
      </c>
      <c r="L9" t="s">
        <v>357</v>
      </c>
      <c r="M9" t="s">
        <v>358</v>
      </c>
      <c r="N9" t="s">
        <v>748</v>
      </c>
      <c r="AG9">
        <v>80</v>
      </c>
      <c r="AH9">
        <v>77</v>
      </c>
      <c r="AI9">
        <v>75</v>
      </c>
      <c r="AJ9">
        <v>39</v>
      </c>
      <c r="AK9">
        <v>56</v>
      </c>
      <c r="AL9">
        <v>78</v>
      </c>
      <c r="AM9">
        <v>65</v>
      </c>
      <c r="AN9">
        <v>47</v>
      </c>
      <c r="AO9">
        <v>73</v>
      </c>
    </row>
    <row r="10" spans="1:42" ht="17" x14ac:dyDescent="0.2">
      <c r="A10" t="s">
        <v>7</v>
      </c>
      <c r="B10" t="str">
        <f t="shared" si="0"/>
        <v>.#####</v>
      </c>
      <c r="C10" t="s">
        <v>723</v>
      </c>
      <c r="D10" s="1" t="s">
        <v>738</v>
      </c>
      <c r="E10" t="s">
        <v>749</v>
      </c>
      <c r="F10" t="s">
        <v>359</v>
      </c>
      <c r="G10" t="s">
        <v>741</v>
      </c>
      <c r="H10" t="s">
        <v>360</v>
      </c>
      <c r="I10" t="s">
        <v>361</v>
      </c>
      <c r="J10" t="s">
        <v>748</v>
      </c>
      <c r="K10" t="s">
        <v>748</v>
      </c>
      <c r="L10" t="s">
        <v>748</v>
      </c>
      <c r="M10" t="s">
        <v>748</v>
      </c>
      <c r="N10" t="s">
        <v>748</v>
      </c>
      <c r="AG10">
        <v>66</v>
      </c>
      <c r="AH10">
        <v>50</v>
      </c>
      <c r="AI10">
        <v>21</v>
      </c>
      <c r="AJ10">
        <v>16</v>
      </c>
      <c r="AK10">
        <v>70</v>
      </c>
      <c r="AL10">
        <v>64</v>
      </c>
    </row>
    <row r="11" spans="1:42" ht="17" x14ac:dyDescent="0.2">
      <c r="A11" t="s">
        <v>8</v>
      </c>
      <c r="B11" t="str">
        <f t="shared" si="0"/>
        <v>....####</v>
      </c>
      <c r="C11" t="s">
        <v>362</v>
      </c>
      <c r="D11" s="1" t="s">
        <v>739</v>
      </c>
      <c r="E11" t="s">
        <v>749</v>
      </c>
      <c r="F11" t="s">
        <v>363</v>
      </c>
      <c r="G11" t="s">
        <v>364</v>
      </c>
      <c r="H11" t="s">
        <v>365</v>
      </c>
      <c r="I11" t="s">
        <v>366</v>
      </c>
      <c r="J11" t="s">
        <v>748</v>
      </c>
      <c r="K11" t="s">
        <v>748</v>
      </c>
      <c r="L11" t="s">
        <v>748</v>
      </c>
      <c r="M11" t="s">
        <v>748</v>
      </c>
      <c r="N11" t="s">
        <v>748</v>
      </c>
      <c r="AG11">
        <v>18</v>
      </c>
      <c r="AH11">
        <v>43</v>
      </c>
      <c r="AI11">
        <v>32</v>
      </c>
      <c r="AJ11">
        <v>54</v>
      </c>
      <c r="AK11">
        <v>60</v>
      </c>
      <c r="AL11">
        <v>69</v>
      </c>
      <c r="AM11">
        <v>35</v>
      </c>
      <c r="AN11">
        <v>15</v>
      </c>
    </row>
    <row r="12" spans="1:42" ht="17" x14ac:dyDescent="0.2">
      <c r="A12" t="s">
        <v>9</v>
      </c>
      <c r="B12" t="str">
        <f t="shared" si="0"/>
        <v>.#.#</v>
      </c>
      <c r="C12" t="s">
        <v>721</v>
      </c>
      <c r="D12" s="1" t="s">
        <v>732</v>
      </c>
      <c r="E12" t="s">
        <v>318</v>
      </c>
      <c r="F12" t="s">
        <v>748</v>
      </c>
      <c r="G12" t="s">
        <v>748</v>
      </c>
      <c r="H12" t="s">
        <v>748</v>
      </c>
      <c r="I12" t="s">
        <v>748</v>
      </c>
      <c r="J12" t="s">
        <v>748</v>
      </c>
      <c r="K12" t="s">
        <v>748</v>
      </c>
      <c r="L12" t="s">
        <v>748</v>
      </c>
      <c r="M12" t="s">
        <v>748</v>
      </c>
      <c r="N12" t="s">
        <v>748</v>
      </c>
      <c r="AG12">
        <v>2</v>
      </c>
      <c r="AH12">
        <v>194</v>
      </c>
      <c r="AI12">
        <v>17</v>
      </c>
      <c r="AJ12">
        <v>196</v>
      </c>
    </row>
    <row r="13" spans="1:42" ht="17" x14ac:dyDescent="0.2">
      <c r="A13" t="s">
        <v>10</v>
      </c>
      <c r="B13" t="str">
        <f t="shared" si="0"/>
        <v>###..##</v>
      </c>
      <c r="C13" t="s">
        <v>367</v>
      </c>
      <c r="D13" s="1" t="s">
        <v>740</v>
      </c>
      <c r="E13" t="s">
        <v>721</v>
      </c>
      <c r="F13" t="s">
        <v>368</v>
      </c>
      <c r="G13" t="s">
        <v>369</v>
      </c>
      <c r="H13" t="s">
        <v>370</v>
      </c>
      <c r="I13" t="s">
        <v>371</v>
      </c>
      <c r="J13" t="s">
        <v>372</v>
      </c>
      <c r="K13" t="s">
        <v>723</v>
      </c>
      <c r="L13" t="s">
        <v>748</v>
      </c>
      <c r="M13" t="s">
        <v>748</v>
      </c>
      <c r="N13" t="s">
        <v>748</v>
      </c>
      <c r="AG13">
        <v>55</v>
      </c>
      <c r="AH13">
        <v>38</v>
      </c>
      <c r="AI13">
        <v>57</v>
      </c>
      <c r="AJ13">
        <v>47</v>
      </c>
      <c r="AK13">
        <v>34</v>
      </c>
      <c r="AL13">
        <v>65</v>
      </c>
      <c r="AM13">
        <v>52</v>
      </c>
    </row>
    <row r="14" spans="1:42" ht="17" x14ac:dyDescent="0.2">
      <c r="A14" t="s">
        <v>136</v>
      </c>
      <c r="B14" t="str">
        <f t="shared" si="0"/>
        <v>#....#...#</v>
      </c>
      <c r="C14" t="s">
        <v>373</v>
      </c>
      <c r="D14" s="1" t="s">
        <v>374</v>
      </c>
      <c r="E14" t="s">
        <v>375</v>
      </c>
      <c r="F14" t="s">
        <v>376</v>
      </c>
      <c r="G14" t="s">
        <v>377</v>
      </c>
      <c r="H14" t="s">
        <v>378</v>
      </c>
      <c r="I14" t="s">
        <v>379</v>
      </c>
      <c r="J14" t="s">
        <v>380</v>
      </c>
      <c r="K14" t="s">
        <v>732</v>
      </c>
      <c r="L14" t="s">
        <v>381</v>
      </c>
      <c r="M14" t="s">
        <v>382</v>
      </c>
      <c r="N14" t="s">
        <v>770</v>
      </c>
      <c r="O14" t="s">
        <v>11</v>
      </c>
      <c r="AG14">
        <v>77</v>
      </c>
      <c r="AH14">
        <v>44</v>
      </c>
      <c r="AI14">
        <v>104</v>
      </c>
      <c r="AJ14">
        <v>72</v>
      </c>
      <c r="AK14">
        <v>76</v>
      </c>
      <c r="AL14">
        <v>57</v>
      </c>
      <c r="AM14">
        <v>91</v>
      </c>
      <c r="AN14">
        <v>60</v>
      </c>
      <c r="AO14">
        <v>51</v>
      </c>
      <c r="AP14">
        <v>44</v>
      </c>
    </row>
    <row r="15" spans="1:42" ht="17" x14ac:dyDescent="0.2">
      <c r="A15" t="s">
        <v>12</v>
      </c>
      <c r="B15" t="str">
        <f t="shared" si="0"/>
        <v>#.###.#</v>
      </c>
      <c r="C15" t="s">
        <v>383</v>
      </c>
      <c r="D15" s="1" t="s">
        <v>728</v>
      </c>
      <c r="E15" t="s">
        <v>384</v>
      </c>
      <c r="F15" t="s">
        <v>385</v>
      </c>
      <c r="G15" t="s">
        <v>750</v>
      </c>
      <c r="H15" t="s">
        <v>386</v>
      </c>
      <c r="I15" t="s">
        <v>748</v>
      </c>
      <c r="J15" t="s">
        <v>748</v>
      </c>
      <c r="K15" t="s">
        <v>748</v>
      </c>
      <c r="L15" t="s">
        <v>748</v>
      </c>
      <c r="M15" t="s">
        <v>748</v>
      </c>
      <c r="N15" t="s">
        <v>748</v>
      </c>
      <c r="AG15">
        <v>44</v>
      </c>
      <c r="AH15">
        <v>20</v>
      </c>
      <c r="AI15">
        <v>43</v>
      </c>
      <c r="AJ15">
        <v>26</v>
      </c>
      <c r="AK15">
        <v>36</v>
      </c>
      <c r="AL15">
        <v>20</v>
      </c>
      <c r="AM15">
        <v>25</v>
      </c>
    </row>
    <row r="16" spans="1:42" ht="17" x14ac:dyDescent="0.2">
      <c r="A16" t="s">
        <v>13</v>
      </c>
      <c r="B16" t="str">
        <f t="shared" si="0"/>
        <v>.....##.#</v>
      </c>
      <c r="C16" t="s">
        <v>387</v>
      </c>
      <c r="D16" s="1" t="s">
        <v>349</v>
      </c>
      <c r="E16" t="s">
        <v>388</v>
      </c>
      <c r="F16" t="s">
        <v>389</v>
      </c>
      <c r="G16" t="s">
        <v>320</v>
      </c>
      <c r="H16" t="s">
        <v>390</v>
      </c>
      <c r="I16" t="s">
        <v>391</v>
      </c>
      <c r="J16" t="s">
        <v>392</v>
      </c>
      <c r="K16" t="s">
        <v>393</v>
      </c>
      <c r="L16" t="s">
        <v>745</v>
      </c>
      <c r="M16" t="s">
        <v>748</v>
      </c>
      <c r="N16" t="s">
        <v>748</v>
      </c>
      <c r="AG16">
        <v>85</v>
      </c>
      <c r="AH16">
        <v>24</v>
      </c>
      <c r="AI16">
        <v>53</v>
      </c>
      <c r="AJ16">
        <v>22</v>
      </c>
      <c r="AK16">
        <v>56</v>
      </c>
      <c r="AL16">
        <v>55</v>
      </c>
      <c r="AM16">
        <v>27</v>
      </c>
      <c r="AN16">
        <v>72</v>
      </c>
      <c r="AO16">
        <v>71</v>
      </c>
    </row>
    <row r="17" spans="1:42" ht="17" x14ac:dyDescent="0.2">
      <c r="A17" t="s">
        <v>14</v>
      </c>
      <c r="B17" t="str">
        <f t="shared" si="0"/>
        <v>...#..</v>
      </c>
      <c r="C17" t="s">
        <v>320</v>
      </c>
      <c r="D17" s="1" t="s">
        <v>360</v>
      </c>
      <c r="E17" t="s">
        <v>749</v>
      </c>
      <c r="F17" t="s">
        <v>394</v>
      </c>
      <c r="G17" t="s">
        <v>371</v>
      </c>
      <c r="H17" t="s">
        <v>748</v>
      </c>
      <c r="I17" t="s">
        <v>748</v>
      </c>
      <c r="J17" t="s">
        <v>748</v>
      </c>
      <c r="K17" t="s">
        <v>748</v>
      </c>
      <c r="L17" t="s">
        <v>748</v>
      </c>
      <c r="M17" t="s">
        <v>748</v>
      </c>
      <c r="N17" t="s">
        <v>748</v>
      </c>
      <c r="AG17">
        <v>39</v>
      </c>
      <c r="AH17">
        <v>21</v>
      </c>
      <c r="AI17">
        <v>130</v>
      </c>
      <c r="AJ17">
        <v>34</v>
      </c>
      <c r="AK17">
        <v>28</v>
      </c>
      <c r="AL17">
        <v>140</v>
      </c>
    </row>
    <row r="18" spans="1:42" ht="17" x14ac:dyDescent="0.2">
      <c r="A18" t="s">
        <v>15</v>
      </c>
      <c r="B18" t="str">
        <f t="shared" si="0"/>
        <v>##.####.</v>
      </c>
      <c r="C18" t="s">
        <v>395</v>
      </c>
      <c r="D18" s="1" t="s">
        <v>324</v>
      </c>
      <c r="E18" t="s">
        <v>396</v>
      </c>
      <c r="F18" t="s">
        <v>397</v>
      </c>
      <c r="G18" t="s">
        <v>398</v>
      </c>
      <c r="H18" t="s">
        <v>364</v>
      </c>
      <c r="I18" t="s">
        <v>399</v>
      </c>
      <c r="J18" t="s">
        <v>317</v>
      </c>
      <c r="K18" t="s">
        <v>400</v>
      </c>
      <c r="L18" t="s">
        <v>401</v>
      </c>
      <c r="M18" t="s">
        <v>748</v>
      </c>
      <c r="N18" t="s">
        <v>748</v>
      </c>
      <c r="AG18">
        <v>163</v>
      </c>
      <c r="AH18">
        <v>195</v>
      </c>
      <c r="AI18">
        <v>143</v>
      </c>
      <c r="AJ18">
        <v>48</v>
      </c>
      <c r="AK18">
        <v>49</v>
      </c>
      <c r="AL18">
        <v>46</v>
      </c>
      <c r="AM18">
        <v>169</v>
      </c>
      <c r="AN18">
        <v>184</v>
      </c>
    </row>
    <row r="19" spans="1:42" ht="17" x14ac:dyDescent="0.2">
      <c r="A19" t="s">
        <v>16</v>
      </c>
      <c r="B19" t="str">
        <f t="shared" si="0"/>
        <v>##.#</v>
      </c>
      <c r="C19" t="s">
        <v>394</v>
      </c>
      <c r="D19" s="1" t="s">
        <v>402</v>
      </c>
      <c r="E19" t="s">
        <v>724</v>
      </c>
      <c r="F19" t="s">
        <v>725</v>
      </c>
      <c r="G19" t="s">
        <v>748</v>
      </c>
      <c r="H19" t="s">
        <v>748</v>
      </c>
      <c r="I19" t="s">
        <v>748</v>
      </c>
      <c r="J19" t="s">
        <v>748</v>
      </c>
      <c r="K19" t="s">
        <v>748</v>
      </c>
      <c r="L19" t="s">
        <v>748</v>
      </c>
      <c r="M19" t="s">
        <v>748</v>
      </c>
      <c r="N19" t="s">
        <v>748</v>
      </c>
      <c r="AG19">
        <v>25</v>
      </c>
      <c r="AH19">
        <v>22</v>
      </c>
      <c r="AI19">
        <v>8</v>
      </c>
      <c r="AJ19">
        <v>22</v>
      </c>
    </row>
    <row r="20" spans="1:42" ht="17" x14ac:dyDescent="0.2">
      <c r="A20" t="s">
        <v>17</v>
      </c>
      <c r="B20" t="str">
        <f t="shared" si="0"/>
        <v>#.###.#.</v>
      </c>
      <c r="C20" t="s">
        <v>403</v>
      </c>
      <c r="D20" s="1" t="s">
        <v>741</v>
      </c>
      <c r="E20" t="s">
        <v>404</v>
      </c>
      <c r="F20" t="s">
        <v>723</v>
      </c>
      <c r="G20" t="s">
        <v>363</v>
      </c>
      <c r="H20" t="s">
        <v>405</v>
      </c>
      <c r="I20" t="s">
        <v>725</v>
      </c>
      <c r="J20" t="s">
        <v>406</v>
      </c>
      <c r="K20" t="s">
        <v>407</v>
      </c>
      <c r="L20" t="s">
        <v>748</v>
      </c>
      <c r="M20" t="s">
        <v>748</v>
      </c>
      <c r="N20" t="s">
        <v>748</v>
      </c>
      <c r="AG20">
        <v>45</v>
      </c>
      <c r="AH20">
        <v>10</v>
      </c>
      <c r="AI20">
        <v>26</v>
      </c>
      <c r="AJ20">
        <v>24</v>
      </c>
      <c r="AK20">
        <v>31</v>
      </c>
      <c r="AL20">
        <v>18</v>
      </c>
      <c r="AM20">
        <v>10</v>
      </c>
      <c r="AN20">
        <v>21</v>
      </c>
    </row>
    <row r="21" spans="1:42" ht="17" x14ac:dyDescent="0.2">
      <c r="A21" t="s">
        <v>18</v>
      </c>
      <c r="B21" t="str">
        <f t="shared" si="0"/>
        <v>.#..#</v>
      </c>
      <c r="C21" t="s">
        <v>383</v>
      </c>
      <c r="D21" s="1" t="s">
        <v>742</v>
      </c>
      <c r="E21" t="s">
        <v>728</v>
      </c>
      <c r="F21" t="s">
        <v>722</v>
      </c>
      <c r="G21" t="s">
        <v>408</v>
      </c>
      <c r="H21" t="s">
        <v>409</v>
      </c>
      <c r="I21" t="s">
        <v>748</v>
      </c>
      <c r="J21" t="s">
        <v>748</v>
      </c>
      <c r="K21" t="s">
        <v>748</v>
      </c>
      <c r="L21" t="s">
        <v>748</v>
      </c>
      <c r="M21" t="s">
        <v>748</v>
      </c>
      <c r="N21" t="s">
        <v>748</v>
      </c>
      <c r="AG21">
        <v>33</v>
      </c>
      <c r="AH21">
        <v>18</v>
      </c>
      <c r="AI21">
        <v>38</v>
      </c>
      <c r="AJ21">
        <v>17</v>
      </c>
      <c r="AK21">
        <v>49</v>
      </c>
    </row>
    <row r="22" spans="1:42" ht="17" x14ac:dyDescent="0.2">
      <c r="A22" t="s">
        <v>137</v>
      </c>
      <c r="B22" t="str">
        <f t="shared" si="0"/>
        <v>....#..###</v>
      </c>
      <c r="C22" t="s">
        <v>410</v>
      </c>
      <c r="D22" s="1" t="s">
        <v>723</v>
      </c>
      <c r="E22" t="s">
        <v>411</v>
      </c>
      <c r="F22" t="s">
        <v>412</v>
      </c>
      <c r="G22" t="s">
        <v>413</v>
      </c>
      <c r="H22" t="s">
        <v>414</v>
      </c>
      <c r="I22" t="s">
        <v>415</v>
      </c>
      <c r="J22" t="s">
        <v>733</v>
      </c>
      <c r="K22" t="s">
        <v>416</v>
      </c>
      <c r="L22" t="s">
        <v>417</v>
      </c>
      <c r="M22" t="s">
        <v>418</v>
      </c>
      <c r="N22" t="s">
        <v>372</v>
      </c>
      <c r="O22" t="s">
        <v>419</v>
      </c>
      <c r="AG22">
        <v>55</v>
      </c>
      <c r="AH22">
        <v>76</v>
      </c>
      <c r="AI22">
        <v>87</v>
      </c>
      <c r="AJ22">
        <v>15</v>
      </c>
      <c r="AK22">
        <v>45</v>
      </c>
      <c r="AL22">
        <v>85</v>
      </c>
      <c r="AM22">
        <v>72</v>
      </c>
      <c r="AN22">
        <v>50</v>
      </c>
      <c r="AO22">
        <v>72</v>
      </c>
      <c r="AP22">
        <v>45</v>
      </c>
    </row>
    <row r="23" spans="1:42" ht="17" x14ac:dyDescent="0.2">
      <c r="A23" t="s">
        <v>138</v>
      </c>
      <c r="B23" t="str">
        <f t="shared" si="0"/>
        <v>##..##...#</v>
      </c>
      <c r="C23" t="s">
        <v>420</v>
      </c>
      <c r="D23" s="1" t="s">
        <v>421</v>
      </c>
      <c r="E23" t="s">
        <v>422</v>
      </c>
      <c r="F23" t="s">
        <v>423</v>
      </c>
      <c r="G23" t="s">
        <v>424</v>
      </c>
      <c r="H23" t="s">
        <v>425</v>
      </c>
      <c r="I23" t="s">
        <v>426</v>
      </c>
      <c r="J23" t="s">
        <v>427</v>
      </c>
      <c r="K23" t="s">
        <v>428</v>
      </c>
      <c r="L23" t="s">
        <v>429</v>
      </c>
      <c r="M23" t="s">
        <v>430</v>
      </c>
      <c r="N23" t="s">
        <v>431</v>
      </c>
      <c r="AG23">
        <v>66</v>
      </c>
      <c r="AH23">
        <v>35</v>
      </c>
      <c r="AI23">
        <v>49</v>
      </c>
      <c r="AJ23">
        <v>39</v>
      </c>
      <c r="AK23" t="s">
        <v>837</v>
      </c>
      <c r="AL23">
        <v>55</v>
      </c>
      <c r="AM23">
        <v>58</v>
      </c>
      <c r="AN23">
        <v>32</v>
      </c>
      <c r="AO23">
        <v>52</v>
      </c>
      <c r="AP23">
        <v>78</v>
      </c>
    </row>
    <row r="24" spans="1:42" ht="17" x14ac:dyDescent="0.2">
      <c r="A24" t="s">
        <v>19</v>
      </c>
      <c r="B24" t="str">
        <f t="shared" si="0"/>
        <v>#...##.</v>
      </c>
      <c r="C24" t="s">
        <v>432</v>
      </c>
      <c r="D24" s="1" t="s">
        <v>408</v>
      </c>
      <c r="E24" t="s">
        <v>747</v>
      </c>
      <c r="F24" t="s">
        <v>400</v>
      </c>
      <c r="G24" t="s">
        <v>758</v>
      </c>
      <c r="H24" t="s">
        <v>433</v>
      </c>
      <c r="I24" t="s">
        <v>383</v>
      </c>
      <c r="J24" t="s">
        <v>319</v>
      </c>
      <c r="K24" t="s">
        <v>748</v>
      </c>
      <c r="L24" t="s">
        <v>748</v>
      </c>
      <c r="M24" t="s">
        <v>748</v>
      </c>
      <c r="N24" t="s">
        <v>748</v>
      </c>
      <c r="AG24">
        <v>23</v>
      </c>
      <c r="AH24">
        <v>28</v>
      </c>
      <c r="AI24">
        <v>43</v>
      </c>
      <c r="AJ24">
        <v>28</v>
      </c>
      <c r="AK24">
        <v>38</v>
      </c>
      <c r="AL24">
        <v>24</v>
      </c>
      <c r="AM24">
        <v>25</v>
      </c>
    </row>
    <row r="25" spans="1:42" ht="17" x14ac:dyDescent="0.2">
      <c r="A25" t="s">
        <v>20</v>
      </c>
      <c r="B25" t="str">
        <f t="shared" si="0"/>
        <v>.#.#</v>
      </c>
      <c r="C25" t="s">
        <v>724</v>
      </c>
      <c r="D25" s="1" t="s">
        <v>722</v>
      </c>
      <c r="E25" t="s">
        <v>733</v>
      </c>
      <c r="F25" t="s">
        <v>394</v>
      </c>
      <c r="G25" t="s">
        <v>317</v>
      </c>
      <c r="H25" t="s">
        <v>748</v>
      </c>
      <c r="I25" t="s">
        <v>748</v>
      </c>
      <c r="J25" t="s">
        <v>748</v>
      </c>
      <c r="K25" t="s">
        <v>748</v>
      </c>
      <c r="L25" t="s">
        <v>748</v>
      </c>
      <c r="M25" t="s">
        <v>748</v>
      </c>
      <c r="N25" t="s">
        <v>748</v>
      </c>
      <c r="AG25">
        <v>35</v>
      </c>
      <c r="AH25">
        <v>53</v>
      </c>
      <c r="AI25">
        <v>19</v>
      </c>
      <c r="AJ25">
        <v>19</v>
      </c>
    </row>
    <row r="26" spans="1:42" ht="17" x14ac:dyDescent="0.2">
      <c r="A26" t="s">
        <v>21</v>
      </c>
      <c r="B26" t="str">
        <f t="shared" si="0"/>
        <v>#..##.</v>
      </c>
      <c r="C26" t="s">
        <v>408</v>
      </c>
      <c r="D26" s="1" t="s">
        <v>434</v>
      </c>
      <c r="E26" t="s">
        <v>435</v>
      </c>
      <c r="F26" t="s">
        <v>747</v>
      </c>
      <c r="G26" t="s">
        <v>731</v>
      </c>
      <c r="H26" t="s">
        <v>319</v>
      </c>
      <c r="I26" t="s">
        <v>725</v>
      </c>
      <c r="J26" t="s">
        <v>748</v>
      </c>
      <c r="K26" t="s">
        <v>748</v>
      </c>
      <c r="L26" t="s">
        <v>748</v>
      </c>
      <c r="M26" t="s">
        <v>748</v>
      </c>
      <c r="N26" t="s">
        <v>748</v>
      </c>
      <c r="AG26">
        <v>20</v>
      </c>
      <c r="AH26">
        <v>17</v>
      </c>
      <c r="AI26">
        <v>31</v>
      </c>
      <c r="AJ26">
        <v>48</v>
      </c>
      <c r="AK26">
        <v>34</v>
      </c>
      <c r="AL26">
        <v>19</v>
      </c>
    </row>
    <row r="27" spans="1:42" ht="17" x14ac:dyDescent="0.2">
      <c r="A27" t="s">
        <v>139</v>
      </c>
      <c r="B27" t="str">
        <f t="shared" si="0"/>
        <v>#..#..##.#</v>
      </c>
      <c r="C27" t="s">
        <v>326</v>
      </c>
      <c r="D27" s="1" t="s">
        <v>436</v>
      </c>
      <c r="E27" t="s">
        <v>407</v>
      </c>
      <c r="F27" t="s">
        <v>375</v>
      </c>
      <c r="G27" t="s">
        <v>437</v>
      </c>
      <c r="H27" t="s">
        <v>312</v>
      </c>
      <c r="I27" t="s">
        <v>438</v>
      </c>
      <c r="J27" t="s">
        <v>743</v>
      </c>
      <c r="K27" t="s">
        <v>439</v>
      </c>
      <c r="L27" t="s">
        <v>399</v>
      </c>
      <c r="M27" t="s">
        <v>440</v>
      </c>
      <c r="N27" t="s">
        <v>441</v>
      </c>
      <c r="AG27">
        <v>50</v>
      </c>
      <c r="AH27">
        <v>71</v>
      </c>
      <c r="AI27">
        <v>38</v>
      </c>
      <c r="AJ27">
        <v>66</v>
      </c>
      <c r="AK27">
        <v>82</v>
      </c>
      <c r="AL27">
        <v>38</v>
      </c>
      <c r="AM27" t="s">
        <v>838</v>
      </c>
      <c r="AN27">
        <v>36</v>
      </c>
      <c r="AO27">
        <v>56</v>
      </c>
      <c r="AP27">
        <v>33</v>
      </c>
    </row>
    <row r="28" spans="1:42" ht="17" x14ac:dyDescent="0.2">
      <c r="A28" t="s">
        <v>22</v>
      </c>
      <c r="B28" t="str">
        <f t="shared" si="0"/>
        <v>...#....#.</v>
      </c>
      <c r="C28" t="s">
        <v>442</v>
      </c>
      <c r="D28" s="1" t="s">
        <v>443</v>
      </c>
      <c r="E28" t="s">
        <v>444</v>
      </c>
      <c r="F28" t="s">
        <v>445</v>
      </c>
      <c r="G28" t="s">
        <v>446</v>
      </c>
      <c r="H28" t="s">
        <v>749</v>
      </c>
      <c r="I28" t="s">
        <v>419</v>
      </c>
      <c r="J28" t="s">
        <v>447</v>
      </c>
      <c r="K28" t="s">
        <v>448</v>
      </c>
      <c r="L28" t="s">
        <v>748</v>
      </c>
      <c r="M28" t="s">
        <v>748</v>
      </c>
      <c r="N28" t="s">
        <v>748</v>
      </c>
      <c r="AG28">
        <v>155</v>
      </c>
      <c r="AH28">
        <v>173</v>
      </c>
      <c r="AI28">
        <v>181</v>
      </c>
      <c r="AJ28">
        <v>30</v>
      </c>
      <c r="AK28">
        <v>31</v>
      </c>
      <c r="AL28">
        <v>27</v>
      </c>
      <c r="AM28">
        <v>159</v>
      </c>
      <c r="AN28">
        <v>146</v>
      </c>
      <c r="AO28">
        <v>173</v>
      </c>
      <c r="AP28">
        <v>14</v>
      </c>
    </row>
    <row r="29" spans="1:42" ht="17" x14ac:dyDescent="0.2">
      <c r="A29" t="s">
        <v>23</v>
      </c>
      <c r="B29" t="str">
        <f t="shared" si="0"/>
        <v>###.##</v>
      </c>
      <c r="C29" t="s">
        <v>720</v>
      </c>
      <c r="D29" s="1" t="s">
        <v>449</v>
      </c>
      <c r="E29" t="s">
        <v>361</v>
      </c>
      <c r="F29" t="s">
        <v>750</v>
      </c>
      <c r="G29" t="s">
        <v>729</v>
      </c>
      <c r="H29" t="s">
        <v>360</v>
      </c>
      <c r="I29" t="s">
        <v>748</v>
      </c>
      <c r="J29" t="s">
        <v>748</v>
      </c>
      <c r="K29" t="s">
        <v>748</v>
      </c>
      <c r="L29" t="s">
        <v>748</v>
      </c>
      <c r="M29" t="s">
        <v>748</v>
      </c>
      <c r="N29" t="s">
        <v>748</v>
      </c>
      <c r="AG29">
        <v>55</v>
      </c>
      <c r="AH29">
        <v>38</v>
      </c>
      <c r="AI29">
        <v>37</v>
      </c>
      <c r="AJ29">
        <v>30</v>
      </c>
      <c r="AK29">
        <v>51</v>
      </c>
      <c r="AL29">
        <v>20</v>
      </c>
    </row>
    <row r="30" spans="1:42" ht="17" x14ac:dyDescent="0.2">
      <c r="A30" t="s">
        <v>24</v>
      </c>
      <c r="B30" t="str">
        <f t="shared" si="0"/>
        <v>..#.</v>
      </c>
      <c r="C30" t="s">
        <v>721</v>
      </c>
      <c r="D30" s="1" t="s">
        <v>731</v>
      </c>
      <c r="E30" t="s">
        <v>729</v>
      </c>
      <c r="F30" t="s">
        <v>317</v>
      </c>
      <c r="G30" t="s">
        <v>748</v>
      </c>
      <c r="H30" t="s">
        <v>748</v>
      </c>
      <c r="I30" t="s">
        <v>748</v>
      </c>
      <c r="J30" t="s">
        <v>748</v>
      </c>
      <c r="K30" t="s">
        <v>748</v>
      </c>
      <c r="L30" t="s">
        <v>748</v>
      </c>
      <c r="M30" t="s">
        <v>748</v>
      </c>
      <c r="N30" t="s">
        <v>748</v>
      </c>
      <c r="AG30">
        <v>25</v>
      </c>
      <c r="AH30">
        <v>25</v>
      </c>
      <c r="AI30">
        <v>7</v>
      </c>
      <c r="AJ30">
        <v>39</v>
      </c>
    </row>
    <row r="31" spans="1:42" ht="17" x14ac:dyDescent="0.2">
      <c r="A31" t="s">
        <v>140</v>
      </c>
      <c r="B31" t="str">
        <f t="shared" si="0"/>
        <v>#..#####..</v>
      </c>
      <c r="C31" t="s">
        <v>450</v>
      </c>
      <c r="D31" s="1" t="s">
        <v>451</v>
      </c>
      <c r="E31" t="s">
        <v>371</v>
      </c>
      <c r="F31" t="s">
        <v>452</v>
      </c>
      <c r="G31" t="s">
        <v>331</v>
      </c>
      <c r="H31" t="s">
        <v>453</v>
      </c>
      <c r="I31" t="s">
        <v>454</v>
      </c>
      <c r="J31" t="s">
        <v>455</v>
      </c>
      <c r="K31" t="s">
        <v>456</v>
      </c>
      <c r="L31" t="s">
        <v>316</v>
      </c>
      <c r="M31" t="s">
        <v>748</v>
      </c>
      <c r="N31" t="s">
        <v>748</v>
      </c>
      <c r="AG31">
        <v>235</v>
      </c>
      <c r="AH31">
        <v>63</v>
      </c>
      <c r="AI31">
        <v>64</v>
      </c>
      <c r="AJ31">
        <v>215</v>
      </c>
      <c r="AK31">
        <v>210</v>
      </c>
      <c r="AL31">
        <v>210</v>
      </c>
      <c r="AM31">
        <v>233</v>
      </c>
      <c r="AN31" t="s">
        <v>839</v>
      </c>
      <c r="AO31">
        <v>203</v>
      </c>
      <c r="AP31">
        <v>62</v>
      </c>
    </row>
    <row r="32" spans="1:42" ht="17" x14ac:dyDescent="0.2">
      <c r="A32" t="s">
        <v>25</v>
      </c>
      <c r="B32" t="str">
        <f t="shared" si="0"/>
        <v>#.#.</v>
      </c>
      <c r="C32" t="s">
        <v>722</v>
      </c>
      <c r="D32" s="1" t="s">
        <v>730</v>
      </c>
      <c r="E32" t="s">
        <v>721</v>
      </c>
      <c r="F32" t="s">
        <v>731</v>
      </c>
      <c r="G32" t="s">
        <v>726</v>
      </c>
      <c r="H32" t="s">
        <v>725</v>
      </c>
      <c r="I32" t="s">
        <v>748</v>
      </c>
      <c r="J32" t="s">
        <v>748</v>
      </c>
      <c r="K32" t="s">
        <v>748</v>
      </c>
      <c r="L32" t="s">
        <v>748</v>
      </c>
      <c r="M32" t="s">
        <v>748</v>
      </c>
      <c r="N32" t="s">
        <v>748</v>
      </c>
      <c r="AG32">
        <v>0</v>
      </c>
      <c r="AH32">
        <v>31</v>
      </c>
      <c r="AI32">
        <v>19</v>
      </c>
      <c r="AJ32">
        <v>7</v>
      </c>
    </row>
    <row r="33" spans="1:42" ht="17" x14ac:dyDescent="0.2">
      <c r="A33" t="s">
        <v>26</v>
      </c>
      <c r="B33" t="str">
        <f t="shared" si="0"/>
        <v>####.#...</v>
      </c>
      <c r="C33" t="s">
        <v>457</v>
      </c>
      <c r="D33" s="1" t="s">
        <v>458</v>
      </c>
      <c r="E33" t="s">
        <v>459</v>
      </c>
      <c r="F33" t="s">
        <v>460</v>
      </c>
      <c r="G33" t="s">
        <v>461</v>
      </c>
      <c r="H33" t="s">
        <v>462</v>
      </c>
      <c r="I33" t="s">
        <v>463</v>
      </c>
      <c r="J33" t="s">
        <v>464</v>
      </c>
      <c r="K33" t="s">
        <v>748</v>
      </c>
      <c r="L33" t="s">
        <v>748</v>
      </c>
      <c r="M33" t="s">
        <v>748</v>
      </c>
      <c r="N33" t="s">
        <v>748</v>
      </c>
      <c r="AG33">
        <v>68</v>
      </c>
      <c r="AH33">
        <v>72</v>
      </c>
      <c r="AI33">
        <v>54</v>
      </c>
      <c r="AJ33">
        <v>53</v>
      </c>
      <c r="AK33">
        <v>47</v>
      </c>
      <c r="AL33">
        <v>55</v>
      </c>
      <c r="AM33">
        <v>46</v>
      </c>
      <c r="AN33">
        <v>86</v>
      </c>
      <c r="AO33">
        <v>59</v>
      </c>
    </row>
    <row r="34" spans="1:42" ht="17" x14ac:dyDescent="0.2">
      <c r="A34" t="s">
        <v>141</v>
      </c>
      <c r="B34" t="str">
        <f t="shared" si="0"/>
        <v>#....##...</v>
      </c>
      <c r="C34" t="s">
        <v>465</v>
      </c>
      <c r="D34" s="1" t="s">
        <v>392</v>
      </c>
      <c r="E34" t="s">
        <v>466</v>
      </c>
      <c r="F34" t="s">
        <v>339</v>
      </c>
      <c r="G34" t="s">
        <v>467</v>
      </c>
      <c r="H34" t="s">
        <v>429</v>
      </c>
      <c r="I34" t="s">
        <v>468</v>
      </c>
      <c r="J34" t="s">
        <v>347</v>
      </c>
      <c r="K34" t="s">
        <v>469</v>
      </c>
      <c r="L34" t="s">
        <v>764</v>
      </c>
      <c r="M34" t="s">
        <v>768</v>
      </c>
      <c r="N34" t="s">
        <v>769</v>
      </c>
      <c r="O34" t="s">
        <v>735</v>
      </c>
      <c r="AG34">
        <v>101</v>
      </c>
      <c r="AH34">
        <v>70</v>
      </c>
      <c r="AI34">
        <v>74</v>
      </c>
      <c r="AJ34">
        <v>72</v>
      </c>
      <c r="AK34">
        <v>97</v>
      </c>
      <c r="AL34">
        <v>85</v>
      </c>
      <c r="AM34">
        <v>95</v>
      </c>
      <c r="AN34">
        <v>84</v>
      </c>
      <c r="AO34">
        <v>122</v>
      </c>
      <c r="AP34">
        <v>108</v>
      </c>
    </row>
    <row r="35" spans="1:42" ht="17" x14ac:dyDescent="0.2">
      <c r="A35" t="s">
        <v>27</v>
      </c>
      <c r="B35" t="str">
        <f t="shared" si="0"/>
        <v>#.#.</v>
      </c>
      <c r="C35" t="s">
        <v>725</v>
      </c>
      <c r="D35" s="1" t="s">
        <v>721</v>
      </c>
      <c r="E35" t="s">
        <v>748</v>
      </c>
      <c r="F35" t="s">
        <v>748</v>
      </c>
      <c r="G35" t="s">
        <v>748</v>
      </c>
      <c r="H35" t="s">
        <v>748</v>
      </c>
      <c r="I35" t="s">
        <v>748</v>
      </c>
      <c r="J35" t="s">
        <v>748</v>
      </c>
      <c r="K35" t="s">
        <v>748</v>
      </c>
      <c r="L35" t="s">
        <v>748</v>
      </c>
      <c r="M35" t="s">
        <v>748</v>
      </c>
      <c r="N35" t="s">
        <v>748</v>
      </c>
      <c r="AG35">
        <v>16</v>
      </c>
      <c r="AH35">
        <v>2</v>
      </c>
      <c r="AI35">
        <v>16</v>
      </c>
      <c r="AJ35">
        <v>2</v>
      </c>
    </row>
    <row r="36" spans="1:42" ht="17" x14ac:dyDescent="0.2">
      <c r="A36" t="s">
        <v>142</v>
      </c>
      <c r="B36" t="str">
        <f t="shared" si="0"/>
        <v>.....#.###</v>
      </c>
      <c r="C36" t="s">
        <v>470</v>
      </c>
      <c r="D36" s="1" t="s">
        <v>471</v>
      </c>
      <c r="E36" t="s">
        <v>472</v>
      </c>
      <c r="F36" t="s">
        <v>473</v>
      </c>
      <c r="G36" t="s">
        <v>474</v>
      </c>
      <c r="H36" t="s">
        <v>462</v>
      </c>
      <c r="I36" t="s">
        <v>475</v>
      </c>
      <c r="J36" t="s">
        <v>419</v>
      </c>
      <c r="K36" t="s">
        <v>476</v>
      </c>
      <c r="L36" t="s">
        <v>477</v>
      </c>
      <c r="M36" t="s">
        <v>478</v>
      </c>
      <c r="N36" t="s">
        <v>479</v>
      </c>
      <c r="O36" t="s">
        <v>771</v>
      </c>
      <c r="AG36">
        <v>40</v>
      </c>
      <c r="AH36">
        <v>88</v>
      </c>
      <c r="AI36">
        <v>33</v>
      </c>
      <c r="AJ36">
        <v>82</v>
      </c>
      <c r="AK36">
        <v>45</v>
      </c>
      <c r="AL36">
        <v>102</v>
      </c>
      <c r="AM36">
        <v>74</v>
      </c>
      <c r="AN36">
        <v>70</v>
      </c>
      <c r="AO36">
        <v>104</v>
      </c>
      <c r="AP36">
        <v>86</v>
      </c>
    </row>
    <row r="37" spans="1:42" ht="17" x14ac:dyDescent="0.2">
      <c r="A37" t="s">
        <v>143</v>
      </c>
      <c r="B37" t="str">
        <f t="shared" si="0"/>
        <v>##..#.##.#</v>
      </c>
      <c r="C37" t="s">
        <v>469</v>
      </c>
      <c r="D37" s="1" t="s">
        <v>440</v>
      </c>
      <c r="E37" t="s">
        <v>480</v>
      </c>
      <c r="F37" t="s">
        <v>481</v>
      </c>
      <c r="G37" t="s">
        <v>482</v>
      </c>
      <c r="H37" t="s">
        <v>483</v>
      </c>
      <c r="I37" t="s">
        <v>374</v>
      </c>
      <c r="J37" t="s">
        <v>484</v>
      </c>
      <c r="K37" t="s">
        <v>485</v>
      </c>
      <c r="L37" t="s">
        <v>486</v>
      </c>
      <c r="M37" t="s">
        <v>748</v>
      </c>
      <c r="N37" t="s">
        <v>748</v>
      </c>
      <c r="AG37">
        <v>54</v>
      </c>
      <c r="AH37">
        <v>86</v>
      </c>
      <c r="AI37">
        <v>82</v>
      </c>
      <c r="AJ37">
        <v>66</v>
      </c>
      <c r="AK37">
        <v>99</v>
      </c>
      <c r="AL37">
        <v>89</v>
      </c>
      <c r="AM37">
        <v>51</v>
      </c>
      <c r="AN37">
        <v>43</v>
      </c>
      <c r="AO37" t="s">
        <v>840</v>
      </c>
      <c r="AP37">
        <v>104</v>
      </c>
    </row>
    <row r="38" spans="1:42" ht="17" x14ac:dyDescent="0.2">
      <c r="A38" t="s">
        <v>28</v>
      </c>
      <c r="B38" t="str">
        <f t="shared" si="0"/>
        <v>.####.##.</v>
      </c>
      <c r="C38" t="s">
        <v>487</v>
      </c>
      <c r="D38" s="1" t="s">
        <v>488</v>
      </c>
      <c r="E38" t="s">
        <v>357</v>
      </c>
      <c r="F38" t="s">
        <v>740</v>
      </c>
      <c r="G38" t="s">
        <v>489</v>
      </c>
      <c r="H38" t="s">
        <v>490</v>
      </c>
      <c r="I38" t="s">
        <v>491</v>
      </c>
      <c r="J38" t="s">
        <v>400</v>
      </c>
      <c r="K38" t="s">
        <v>492</v>
      </c>
      <c r="L38" t="s">
        <v>748</v>
      </c>
      <c r="M38" t="s">
        <v>748</v>
      </c>
      <c r="N38" t="s">
        <v>748</v>
      </c>
      <c r="AG38">
        <v>55</v>
      </c>
      <c r="AH38">
        <v>57</v>
      </c>
      <c r="AI38">
        <v>164</v>
      </c>
      <c r="AJ38">
        <v>26</v>
      </c>
      <c r="AK38">
        <v>178</v>
      </c>
      <c r="AL38">
        <v>37</v>
      </c>
      <c r="AM38">
        <v>69</v>
      </c>
      <c r="AN38">
        <v>26</v>
      </c>
      <c r="AO38">
        <v>156</v>
      </c>
    </row>
    <row r="39" spans="1:42" ht="17" x14ac:dyDescent="0.2">
      <c r="A39" t="s">
        <v>29</v>
      </c>
      <c r="B39" t="str">
        <f t="shared" si="0"/>
        <v>..##...</v>
      </c>
      <c r="C39" t="s">
        <v>319</v>
      </c>
      <c r="D39" s="1" t="s">
        <v>428</v>
      </c>
      <c r="E39" t="s">
        <v>382</v>
      </c>
      <c r="F39" t="s">
        <v>317</v>
      </c>
      <c r="G39" t="s">
        <v>731</v>
      </c>
      <c r="H39" t="s">
        <v>367</v>
      </c>
      <c r="I39" t="s">
        <v>738</v>
      </c>
      <c r="J39" t="s">
        <v>748</v>
      </c>
      <c r="K39" t="s">
        <v>748</v>
      </c>
      <c r="L39" t="s">
        <v>748</v>
      </c>
      <c r="M39" t="s">
        <v>748</v>
      </c>
      <c r="N39" t="s">
        <v>748</v>
      </c>
      <c r="AG39">
        <v>9</v>
      </c>
      <c r="AH39">
        <v>12</v>
      </c>
      <c r="AI39">
        <v>16</v>
      </c>
      <c r="AJ39">
        <v>6</v>
      </c>
      <c r="AK39">
        <v>6</v>
      </c>
      <c r="AL39">
        <v>8</v>
      </c>
      <c r="AM39">
        <v>3</v>
      </c>
    </row>
    <row r="40" spans="1:42" ht="17" x14ac:dyDescent="0.2">
      <c r="A40" t="s">
        <v>30</v>
      </c>
      <c r="B40" t="str">
        <f t="shared" si="0"/>
        <v>#.#.</v>
      </c>
      <c r="C40" t="s">
        <v>725</v>
      </c>
      <c r="D40" s="1" t="s">
        <v>402</v>
      </c>
      <c r="E40" t="s">
        <v>748</v>
      </c>
      <c r="F40" t="s">
        <v>748</v>
      </c>
      <c r="G40" t="s">
        <v>748</v>
      </c>
      <c r="H40" t="s">
        <v>748</v>
      </c>
      <c r="I40" t="s">
        <v>748</v>
      </c>
      <c r="J40" t="s">
        <v>748</v>
      </c>
      <c r="K40" t="s">
        <v>748</v>
      </c>
      <c r="L40" t="s">
        <v>748</v>
      </c>
      <c r="M40" t="s">
        <v>748</v>
      </c>
      <c r="N40" t="s">
        <v>748</v>
      </c>
      <c r="AG40">
        <v>8</v>
      </c>
      <c r="AH40">
        <v>9</v>
      </c>
      <c r="AI40">
        <v>17</v>
      </c>
      <c r="AJ40">
        <v>9</v>
      </c>
    </row>
    <row r="41" spans="1:42" ht="17" x14ac:dyDescent="0.2">
      <c r="A41" t="s">
        <v>31</v>
      </c>
      <c r="B41" t="str">
        <f t="shared" si="0"/>
        <v>.####..#</v>
      </c>
      <c r="C41" t="s">
        <v>368</v>
      </c>
      <c r="D41" s="1" t="s">
        <v>742</v>
      </c>
      <c r="E41" t="s">
        <v>493</v>
      </c>
      <c r="F41" t="s">
        <v>309</v>
      </c>
      <c r="G41" t="s">
        <v>494</v>
      </c>
      <c r="H41" t="s">
        <v>351</v>
      </c>
      <c r="I41" t="s">
        <v>748</v>
      </c>
      <c r="J41" t="s">
        <v>748</v>
      </c>
      <c r="K41" t="s">
        <v>748</v>
      </c>
      <c r="L41" t="s">
        <v>748</v>
      </c>
      <c r="M41" t="s">
        <v>748</v>
      </c>
      <c r="N41" t="s">
        <v>748</v>
      </c>
      <c r="AG41">
        <v>27</v>
      </c>
      <c r="AH41">
        <v>183</v>
      </c>
      <c r="AI41">
        <v>174</v>
      </c>
      <c r="AJ41">
        <v>183</v>
      </c>
      <c r="AK41">
        <v>18</v>
      </c>
      <c r="AL41">
        <v>44</v>
      </c>
      <c r="AM41">
        <v>56</v>
      </c>
      <c r="AN41">
        <v>177</v>
      </c>
    </row>
    <row r="42" spans="1:42" ht="17" x14ac:dyDescent="0.2">
      <c r="A42" t="s">
        <v>32</v>
      </c>
      <c r="B42" t="str">
        <f t="shared" si="0"/>
        <v>#..#...</v>
      </c>
      <c r="C42" t="s">
        <v>726</v>
      </c>
      <c r="D42" s="1" t="s">
        <v>741</v>
      </c>
      <c r="E42" t="s">
        <v>495</v>
      </c>
      <c r="F42" t="s">
        <v>752</v>
      </c>
      <c r="G42" t="s">
        <v>496</v>
      </c>
      <c r="H42" t="s">
        <v>749</v>
      </c>
      <c r="I42" t="s">
        <v>733</v>
      </c>
      <c r="J42" t="s">
        <v>748</v>
      </c>
      <c r="K42" t="s">
        <v>748</v>
      </c>
      <c r="L42" t="s">
        <v>748</v>
      </c>
      <c r="M42" t="s">
        <v>748</v>
      </c>
      <c r="N42" t="s">
        <v>748</v>
      </c>
      <c r="AG42">
        <v>193</v>
      </c>
      <c r="AH42">
        <v>44</v>
      </c>
      <c r="AI42">
        <v>31</v>
      </c>
      <c r="AJ42">
        <v>194</v>
      </c>
      <c r="AK42">
        <v>197</v>
      </c>
      <c r="AL42">
        <v>200</v>
      </c>
      <c r="AM42">
        <v>6</v>
      </c>
    </row>
    <row r="43" spans="1:42" ht="17" x14ac:dyDescent="0.2">
      <c r="A43" t="s">
        <v>33</v>
      </c>
      <c r="B43" t="str">
        <f t="shared" si="0"/>
        <v>.#.#.#..</v>
      </c>
      <c r="C43" t="s">
        <v>497</v>
      </c>
      <c r="D43" s="1" t="s">
        <v>498</v>
      </c>
      <c r="E43" t="s">
        <v>499</v>
      </c>
      <c r="F43" t="s">
        <v>500</v>
      </c>
      <c r="G43" t="s">
        <v>737</v>
      </c>
      <c r="H43" t="s">
        <v>320</v>
      </c>
      <c r="I43" t="s">
        <v>501</v>
      </c>
      <c r="J43" t="s">
        <v>461</v>
      </c>
      <c r="K43" t="s">
        <v>748</v>
      </c>
      <c r="L43" t="s">
        <v>748</v>
      </c>
      <c r="M43" t="s">
        <v>748</v>
      </c>
      <c r="N43" t="s">
        <v>748</v>
      </c>
      <c r="AG43">
        <v>10</v>
      </c>
      <c r="AH43">
        <v>47</v>
      </c>
      <c r="AI43">
        <v>55</v>
      </c>
      <c r="AJ43">
        <v>29</v>
      </c>
      <c r="AK43">
        <v>46</v>
      </c>
      <c r="AL43">
        <v>53</v>
      </c>
      <c r="AM43">
        <v>78</v>
      </c>
      <c r="AN43">
        <v>57</v>
      </c>
    </row>
    <row r="44" spans="1:42" ht="17" x14ac:dyDescent="0.2">
      <c r="A44" t="s">
        <v>34</v>
      </c>
      <c r="B44" t="str">
        <f t="shared" si="0"/>
        <v>.###...#.</v>
      </c>
      <c r="C44" t="s">
        <v>502</v>
      </c>
      <c r="D44" s="1" t="s">
        <v>503</v>
      </c>
      <c r="E44" t="s">
        <v>504</v>
      </c>
      <c r="F44" t="s">
        <v>744</v>
      </c>
      <c r="G44" t="s">
        <v>463</v>
      </c>
      <c r="H44" t="s">
        <v>739</v>
      </c>
      <c r="I44" t="s">
        <v>505</v>
      </c>
      <c r="J44" t="s">
        <v>736</v>
      </c>
      <c r="K44" t="s">
        <v>506</v>
      </c>
      <c r="L44" t="s">
        <v>765</v>
      </c>
      <c r="M44" t="s">
        <v>507</v>
      </c>
      <c r="N44" t="s">
        <v>748</v>
      </c>
      <c r="AG44">
        <v>28</v>
      </c>
      <c r="AH44">
        <v>201</v>
      </c>
      <c r="AI44">
        <v>55</v>
      </c>
      <c r="AJ44">
        <v>48</v>
      </c>
      <c r="AK44">
        <v>36</v>
      </c>
      <c r="AL44">
        <v>214</v>
      </c>
      <c r="AM44">
        <v>6</v>
      </c>
      <c r="AN44">
        <v>68</v>
      </c>
      <c r="AO44">
        <v>66</v>
      </c>
    </row>
    <row r="45" spans="1:42" ht="17" x14ac:dyDescent="0.2">
      <c r="A45" t="s">
        <v>35</v>
      </c>
      <c r="B45" t="str">
        <f t="shared" si="0"/>
        <v>##...##.#</v>
      </c>
      <c r="C45" t="s">
        <v>508</v>
      </c>
      <c r="D45" s="1" t="s">
        <v>509</v>
      </c>
      <c r="E45" t="s">
        <v>510</v>
      </c>
      <c r="F45" t="s">
        <v>511</v>
      </c>
      <c r="G45" t="s">
        <v>512</v>
      </c>
      <c r="H45" t="s">
        <v>490</v>
      </c>
      <c r="I45" t="s">
        <v>513</v>
      </c>
      <c r="J45" t="s">
        <v>748</v>
      </c>
      <c r="K45" t="s">
        <v>748</v>
      </c>
      <c r="L45" t="s">
        <v>748</v>
      </c>
      <c r="M45" t="s">
        <v>748</v>
      </c>
      <c r="N45" t="s">
        <v>748</v>
      </c>
      <c r="AG45">
        <v>45</v>
      </c>
      <c r="AH45">
        <v>26</v>
      </c>
      <c r="AI45">
        <v>23</v>
      </c>
      <c r="AJ45">
        <v>34</v>
      </c>
      <c r="AK45">
        <v>26</v>
      </c>
      <c r="AL45">
        <v>35</v>
      </c>
      <c r="AM45">
        <v>36</v>
      </c>
      <c r="AN45">
        <v>28</v>
      </c>
      <c r="AO45">
        <v>6</v>
      </c>
    </row>
    <row r="46" spans="1:42" ht="17" x14ac:dyDescent="0.2">
      <c r="A46" t="s">
        <v>36</v>
      </c>
      <c r="B46" t="str">
        <f t="shared" si="0"/>
        <v>##.######</v>
      </c>
      <c r="C46" t="s">
        <v>390</v>
      </c>
      <c r="D46" s="1" t="s">
        <v>350</v>
      </c>
      <c r="E46" t="s">
        <v>724</v>
      </c>
      <c r="F46" t="s">
        <v>373</v>
      </c>
      <c r="G46" t="s">
        <v>514</v>
      </c>
      <c r="H46" t="s">
        <v>515</v>
      </c>
      <c r="I46" t="s">
        <v>516</v>
      </c>
      <c r="J46" t="s">
        <v>517</v>
      </c>
      <c r="K46" t="s">
        <v>722</v>
      </c>
      <c r="L46" t="s">
        <v>748</v>
      </c>
      <c r="M46" t="s">
        <v>748</v>
      </c>
      <c r="N46" t="s">
        <v>748</v>
      </c>
      <c r="AG46">
        <v>56</v>
      </c>
      <c r="AH46">
        <v>59</v>
      </c>
      <c r="AI46">
        <v>32</v>
      </c>
      <c r="AJ46">
        <v>80</v>
      </c>
      <c r="AK46">
        <v>49</v>
      </c>
      <c r="AL46">
        <v>61</v>
      </c>
      <c r="AM46">
        <v>93</v>
      </c>
      <c r="AN46">
        <v>62</v>
      </c>
      <c r="AO46">
        <v>78</v>
      </c>
    </row>
    <row r="47" spans="1:42" ht="17" x14ac:dyDescent="0.2">
      <c r="A47" t="s">
        <v>37</v>
      </c>
      <c r="B47" t="str">
        <f t="shared" si="0"/>
        <v>...###.</v>
      </c>
      <c r="C47" t="s">
        <v>324</v>
      </c>
      <c r="D47" s="1" t="s">
        <v>317</v>
      </c>
      <c r="E47" t="s">
        <v>516</v>
      </c>
      <c r="F47" t="s">
        <v>518</v>
      </c>
      <c r="G47" t="s">
        <v>519</v>
      </c>
      <c r="H47" t="s">
        <v>748</v>
      </c>
      <c r="I47" t="s">
        <v>748</v>
      </c>
      <c r="J47" t="s">
        <v>748</v>
      </c>
      <c r="K47" t="s">
        <v>748</v>
      </c>
      <c r="L47" t="s">
        <v>748</v>
      </c>
      <c r="M47" t="s">
        <v>748</v>
      </c>
      <c r="N47" t="s">
        <v>748</v>
      </c>
      <c r="AG47">
        <v>41</v>
      </c>
      <c r="AH47">
        <v>34</v>
      </c>
      <c r="AI47">
        <v>32</v>
      </c>
      <c r="AJ47">
        <v>42</v>
      </c>
      <c r="AK47">
        <v>33</v>
      </c>
      <c r="AL47">
        <v>49</v>
      </c>
      <c r="AM47">
        <v>16</v>
      </c>
    </row>
    <row r="48" spans="1:42" ht="17" x14ac:dyDescent="0.2">
      <c r="A48" t="s">
        <v>38</v>
      </c>
      <c r="B48" t="str">
        <f t="shared" si="0"/>
        <v>#...#</v>
      </c>
      <c r="C48" t="s">
        <v>720</v>
      </c>
      <c r="D48" s="1" t="s">
        <v>725</v>
      </c>
      <c r="E48" t="s">
        <v>367</v>
      </c>
      <c r="F48" t="s">
        <v>520</v>
      </c>
      <c r="G48" t="s">
        <v>742</v>
      </c>
      <c r="H48" t="s">
        <v>748</v>
      </c>
      <c r="I48" t="s">
        <v>748</v>
      </c>
      <c r="J48" t="s">
        <v>748</v>
      </c>
      <c r="K48" t="s">
        <v>748</v>
      </c>
      <c r="L48" t="s">
        <v>748</v>
      </c>
      <c r="M48" t="s">
        <v>748</v>
      </c>
      <c r="N48" t="s">
        <v>748</v>
      </c>
      <c r="AG48">
        <v>163</v>
      </c>
      <c r="AH48">
        <v>143</v>
      </c>
      <c r="AI48">
        <v>55</v>
      </c>
      <c r="AJ48">
        <v>143</v>
      </c>
      <c r="AK48">
        <v>161</v>
      </c>
    </row>
    <row r="49" spans="1:42" ht="17" x14ac:dyDescent="0.2">
      <c r="A49" t="s">
        <v>39</v>
      </c>
      <c r="B49" t="str">
        <f t="shared" si="0"/>
        <v>..#.....##</v>
      </c>
      <c r="C49" t="s">
        <v>443</v>
      </c>
      <c r="D49" s="1" t="s">
        <v>521</v>
      </c>
      <c r="E49" t="s">
        <v>522</v>
      </c>
      <c r="F49" t="s">
        <v>523</v>
      </c>
      <c r="G49" t="s">
        <v>727</v>
      </c>
      <c r="H49" t="s">
        <v>524</v>
      </c>
      <c r="I49" t="s">
        <v>414</v>
      </c>
      <c r="J49" t="s">
        <v>525</v>
      </c>
      <c r="K49" t="s">
        <v>721</v>
      </c>
      <c r="L49" t="s">
        <v>748</v>
      </c>
      <c r="M49" t="s">
        <v>748</v>
      </c>
      <c r="N49" t="s">
        <v>748</v>
      </c>
      <c r="AG49">
        <v>77</v>
      </c>
      <c r="AH49">
        <v>32</v>
      </c>
      <c r="AI49">
        <v>34</v>
      </c>
      <c r="AJ49">
        <v>53</v>
      </c>
      <c r="AK49">
        <v>46</v>
      </c>
      <c r="AL49">
        <v>53</v>
      </c>
      <c r="AM49">
        <v>36</v>
      </c>
      <c r="AN49">
        <v>48</v>
      </c>
      <c r="AO49">
        <v>51</v>
      </c>
      <c r="AP49">
        <v>80</v>
      </c>
    </row>
    <row r="50" spans="1:42" ht="17" x14ac:dyDescent="0.2">
      <c r="A50" t="s">
        <v>40</v>
      </c>
      <c r="B50" t="str">
        <f t="shared" si="0"/>
        <v>.##..</v>
      </c>
      <c r="C50" t="s">
        <v>409</v>
      </c>
      <c r="D50" s="1" t="s">
        <v>722</v>
      </c>
      <c r="E50" t="s">
        <v>729</v>
      </c>
      <c r="F50" t="s">
        <v>724</v>
      </c>
      <c r="G50" t="s">
        <v>742</v>
      </c>
      <c r="H50" t="s">
        <v>739</v>
      </c>
      <c r="I50" t="s">
        <v>721</v>
      </c>
      <c r="J50" t="s">
        <v>748</v>
      </c>
      <c r="K50" t="s">
        <v>748</v>
      </c>
      <c r="L50" t="s">
        <v>748</v>
      </c>
      <c r="M50" t="s">
        <v>748</v>
      </c>
      <c r="N50" t="s">
        <v>748</v>
      </c>
      <c r="AG50">
        <v>25</v>
      </c>
      <c r="AH50">
        <v>23</v>
      </c>
      <c r="AI50">
        <v>15</v>
      </c>
      <c r="AJ50">
        <v>16</v>
      </c>
      <c r="AK50">
        <v>20</v>
      </c>
    </row>
    <row r="51" spans="1:42" ht="17" x14ac:dyDescent="0.2">
      <c r="A51" t="s">
        <v>41</v>
      </c>
      <c r="B51" t="str">
        <f t="shared" si="0"/>
        <v>#.#..</v>
      </c>
      <c r="C51" t="s">
        <v>526</v>
      </c>
      <c r="D51" s="1" t="s">
        <v>726</v>
      </c>
      <c r="E51" t="s">
        <v>383</v>
      </c>
      <c r="F51" t="s">
        <v>317</v>
      </c>
      <c r="G51" t="s">
        <v>433</v>
      </c>
      <c r="H51" t="s">
        <v>739</v>
      </c>
      <c r="I51" t="s">
        <v>725</v>
      </c>
      <c r="J51" t="s">
        <v>748</v>
      </c>
      <c r="K51" t="s">
        <v>748</v>
      </c>
      <c r="L51" t="s">
        <v>748</v>
      </c>
      <c r="M51" t="s">
        <v>748</v>
      </c>
      <c r="N51" t="s">
        <v>748</v>
      </c>
      <c r="AG51">
        <v>53</v>
      </c>
      <c r="AH51">
        <v>58</v>
      </c>
      <c r="AI51">
        <v>53</v>
      </c>
      <c r="AJ51">
        <v>17</v>
      </c>
      <c r="AK51">
        <v>50</v>
      </c>
    </row>
    <row r="52" spans="1:42" ht="17" x14ac:dyDescent="0.2">
      <c r="A52" t="s">
        <v>42</v>
      </c>
      <c r="B52" t="str">
        <f t="shared" si="0"/>
        <v>##..#</v>
      </c>
      <c r="C52" t="s">
        <v>724</v>
      </c>
      <c r="D52" s="1" t="s">
        <v>739</v>
      </c>
      <c r="E52" t="s">
        <v>722</v>
      </c>
      <c r="F52" t="s">
        <v>435</v>
      </c>
      <c r="G52" t="s">
        <v>394</v>
      </c>
      <c r="H52" t="s">
        <v>317</v>
      </c>
      <c r="I52" t="s">
        <v>748</v>
      </c>
      <c r="J52" t="s">
        <v>748</v>
      </c>
      <c r="K52" t="s">
        <v>748</v>
      </c>
      <c r="L52" t="s">
        <v>748</v>
      </c>
      <c r="M52" t="s">
        <v>748</v>
      </c>
      <c r="N52" t="s">
        <v>748</v>
      </c>
      <c r="AG52">
        <v>13</v>
      </c>
      <c r="AH52">
        <v>14</v>
      </c>
      <c r="AI52">
        <v>104</v>
      </c>
      <c r="AJ52">
        <v>106</v>
      </c>
      <c r="AK52">
        <v>113</v>
      </c>
    </row>
    <row r="53" spans="1:42" ht="17" x14ac:dyDescent="0.2">
      <c r="A53" t="s">
        <v>43</v>
      </c>
      <c r="B53" t="str">
        <f t="shared" si="0"/>
        <v>..#.#</v>
      </c>
      <c r="C53" t="s">
        <v>720</v>
      </c>
      <c r="D53" s="1" t="s">
        <v>520</v>
      </c>
      <c r="E53" t="s">
        <v>402</v>
      </c>
      <c r="F53" t="s">
        <v>724</v>
      </c>
      <c r="G53" t="s">
        <v>383</v>
      </c>
      <c r="H53" t="s">
        <v>742</v>
      </c>
      <c r="I53" t="s">
        <v>725</v>
      </c>
      <c r="J53" t="s">
        <v>748</v>
      </c>
      <c r="K53" t="s">
        <v>748</v>
      </c>
      <c r="L53" t="s">
        <v>748</v>
      </c>
      <c r="M53" t="s">
        <v>748</v>
      </c>
      <c r="N53" t="s">
        <v>748</v>
      </c>
      <c r="AG53">
        <v>37</v>
      </c>
      <c r="AH53">
        <v>14</v>
      </c>
      <c r="AI53">
        <v>34</v>
      </c>
      <c r="AJ53">
        <v>14</v>
      </c>
      <c r="AK53">
        <v>22</v>
      </c>
    </row>
    <row r="54" spans="1:42" ht="17" x14ac:dyDescent="0.2">
      <c r="A54" t="s">
        <v>44</v>
      </c>
      <c r="B54" t="str">
        <f t="shared" si="0"/>
        <v>#..####</v>
      </c>
      <c r="C54" t="s">
        <v>527</v>
      </c>
      <c r="D54" s="1" t="s">
        <v>323</v>
      </c>
      <c r="E54" t="s">
        <v>359</v>
      </c>
      <c r="F54" t="s">
        <v>451</v>
      </c>
      <c r="G54" t="s">
        <v>432</v>
      </c>
      <c r="H54" t="s">
        <v>748</v>
      </c>
      <c r="I54" t="s">
        <v>748</v>
      </c>
      <c r="J54" t="s">
        <v>748</v>
      </c>
      <c r="K54" t="s">
        <v>748</v>
      </c>
      <c r="L54" t="s">
        <v>748</v>
      </c>
      <c r="M54" t="s">
        <v>748</v>
      </c>
      <c r="N54" t="s">
        <v>748</v>
      </c>
      <c r="AG54">
        <v>48</v>
      </c>
      <c r="AH54">
        <v>40</v>
      </c>
      <c r="AI54">
        <v>44</v>
      </c>
      <c r="AJ54">
        <v>2</v>
      </c>
      <c r="AK54">
        <v>26</v>
      </c>
      <c r="AL54">
        <v>36</v>
      </c>
      <c r="AM54">
        <v>28</v>
      </c>
    </row>
    <row r="55" spans="1:42" ht="17" x14ac:dyDescent="0.2">
      <c r="A55" t="s">
        <v>45</v>
      </c>
      <c r="B55" t="str">
        <f t="shared" si="0"/>
        <v>###..##.</v>
      </c>
      <c r="C55" t="s">
        <v>528</v>
      </c>
      <c r="D55" s="1" t="s">
        <v>364</v>
      </c>
      <c r="E55" t="s">
        <v>529</v>
      </c>
      <c r="F55" t="s">
        <v>530</v>
      </c>
      <c r="G55" t="s">
        <v>732</v>
      </c>
      <c r="H55" t="s">
        <v>371</v>
      </c>
      <c r="I55" t="s">
        <v>748</v>
      </c>
      <c r="J55" t="s">
        <v>748</v>
      </c>
      <c r="K55" t="s">
        <v>748</v>
      </c>
      <c r="L55" t="s">
        <v>748</v>
      </c>
      <c r="M55" t="s">
        <v>748</v>
      </c>
      <c r="N55" t="s">
        <v>748</v>
      </c>
      <c r="AG55">
        <v>26</v>
      </c>
      <c r="AH55">
        <v>34</v>
      </c>
      <c r="AI55">
        <v>4</v>
      </c>
      <c r="AJ55">
        <v>30</v>
      </c>
      <c r="AK55">
        <v>36</v>
      </c>
      <c r="AL55">
        <v>45</v>
      </c>
      <c r="AM55">
        <v>34</v>
      </c>
      <c r="AN55">
        <v>43</v>
      </c>
    </row>
    <row r="56" spans="1:42" ht="17" x14ac:dyDescent="0.2">
      <c r="A56" t="s">
        <v>144</v>
      </c>
      <c r="B56" t="str">
        <f t="shared" si="0"/>
        <v>.#.##.###</v>
      </c>
      <c r="C56" t="s">
        <v>433</v>
      </c>
      <c r="D56" s="1" t="s">
        <v>531</v>
      </c>
      <c r="E56" t="s">
        <v>532</v>
      </c>
      <c r="F56" t="s">
        <v>738</v>
      </c>
      <c r="G56" t="s">
        <v>533</v>
      </c>
      <c r="H56" t="s">
        <v>354</v>
      </c>
      <c r="I56" t="s">
        <v>726</v>
      </c>
      <c r="J56" t="s">
        <v>534</v>
      </c>
      <c r="K56" t="s">
        <v>535</v>
      </c>
      <c r="L56" t="s">
        <v>352</v>
      </c>
      <c r="M56" t="s">
        <v>317</v>
      </c>
      <c r="N56" t="s">
        <v>748</v>
      </c>
      <c r="AG56">
        <v>56</v>
      </c>
      <c r="AH56">
        <v>74</v>
      </c>
      <c r="AI56">
        <v>43</v>
      </c>
      <c r="AJ56">
        <v>28</v>
      </c>
      <c r="AK56">
        <v>199</v>
      </c>
      <c r="AL56">
        <v>191</v>
      </c>
      <c r="AM56">
        <v>14</v>
      </c>
      <c r="AN56">
        <v>25</v>
      </c>
      <c r="AO56">
        <v>41</v>
      </c>
    </row>
    <row r="57" spans="1:42" ht="17" x14ac:dyDescent="0.2">
      <c r="A57" t="s">
        <v>47</v>
      </c>
      <c r="B57" t="str">
        <f t="shared" si="0"/>
        <v>.##.#..#</v>
      </c>
      <c r="C57" t="s">
        <v>536</v>
      </c>
      <c r="D57" s="1" t="s">
        <v>322</v>
      </c>
      <c r="E57" t="s">
        <v>518</v>
      </c>
      <c r="F57" t="s">
        <v>317</v>
      </c>
      <c r="G57" t="s">
        <v>747</v>
      </c>
      <c r="H57" t="s">
        <v>537</v>
      </c>
      <c r="I57" t="s">
        <v>748</v>
      </c>
      <c r="J57" t="s">
        <v>748</v>
      </c>
      <c r="K57" t="s">
        <v>748</v>
      </c>
      <c r="L57" t="s">
        <v>748</v>
      </c>
      <c r="M57" t="s">
        <v>748</v>
      </c>
      <c r="N57" t="s">
        <v>748</v>
      </c>
      <c r="AG57">
        <v>49</v>
      </c>
      <c r="AH57">
        <v>26</v>
      </c>
      <c r="AI57">
        <v>43</v>
      </c>
      <c r="AJ57">
        <v>17</v>
      </c>
      <c r="AK57">
        <v>18</v>
      </c>
      <c r="AL57">
        <v>29</v>
      </c>
      <c r="AM57">
        <v>17</v>
      </c>
      <c r="AN57">
        <v>6</v>
      </c>
    </row>
    <row r="58" spans="1:42" ht="17" x14ac:dyDescent="0.2">
      <c r="A58" t="s">
        <v>48</v>
      </c>
      <c r="B58" t="str">
        <f t="shared" si="0"/>
        <v>..##.#.</v>
      </c>
      <c r="C58" t="s">
        <v>400</v>
      </c>
      <c r="D58" s="1" t="s">
        <v>428</v>
      </c>
      <c r="E58" t="s">
        <v>538</v>
      </c>
      <c r="F58" t="s">
        <v>359</v>
      </c>
      <c r="G58" t="s">
        <v>752</v>
      </c>
      <c r="H58" t="s">
        <v>748</v>
      </c>
      <c r="I58" t="s">
        <v>748</v>
      </c>
      <c r="J58" t="s">
        <v>748</v>
      </c>
      <c r="K58" t="s">
        <v>748</v>
      </c>
      <c r="L58" t="s">
        <v>748</v>
      </c>
      <c r="M58" t="s">
        <v>748</v>
      </c>
      <c r="N58" t="s">
        <v>748</v>
      </c>
      <c r="AG58">
        <v>15</v>
      </c>
      <c r="AH58">
        <v>41</v>
      </c>
      <c r="AI58">
        <v>13</v>
      </c>
      <c r="AJ58">
        <v>11</v>
      </c>
      <c r="AK58">
        <v>26</v>
      </c>
      <c r="AL58">
        <v>28</v>
      </c>
      <c r="AM58">
        <v>50</v>
      </c>
    </row>
    <row r="59" spans="1:42" ht="17" x14ac:dyDescent="0.2">
      <c r="A59" t="s">
        <v>145</v>
      </c>
      <c r="B59" t="str">
        <f t="shared" si="0"/>
        <v>.##.##..#</v>
      </c>
      <c r="C59" t="s">
        <v>373</v>
      </c>
      <c r="D59" s="1" t="s">
        <v>488</v>
      </c>
      <c r="E59" t="s">
        <v>539</v>
      </c>
      <c r="F59" t="s">
        <v>540</v>
      </c>
      <c r="G59" t="s">
        <v>541</v>
      </c>
      <c r="H59" t="s">
        <v>737</v>
      </c>
      <c r="I59" t="s">
        <v>451</v>
      </c>
      <c r="J59" t="s">
        <v>542</v>
      </c>
      <c r="K59" t="s">
        <v>543</v>
      </c>
      <c r="L59" t="s">
        <v>544</v>
      </c>
      <c r="M59" t="s">
        <v>728</v>
      </c>
      <c r="N59" t="s">
        <v>748</v>
      </c>
      <c r="AG59">
        <v>28</v>
      </c>
      <c r="AH59">
        <v>70</v>
      </c>
      <c r="AI59">
        <v>66</v>
      </c>
      <c r="AJ59">
        <v>65</v>
      </c>
      <c r="AK59">
        <v>60</v>
      </c>
      <c r="AL59">
        <v>176</v>
      </c>
      <c r="AM59">
        <v>208</v>
      </c>
      <c r="AN59">
        <v>173</v>
      </c>
      <c r="AO59">
        <v>70</v>
      </c>
    </row>
    <row r="60" spans="1:42" ht="17" x14ac:dyDescent="0.2">
      <c r="A60" t="s">
        <v>49</v>
      </c>
      <c r="B60" t="str">
        <f t="shared" si="0"/>
        <v>..#..#..#.</v>
      </c>
      <c r="C60" t="s">
        <v>545</v>
      </c>
      <c r="D60" s="1" t="s">
        <v>454</v>
      </c>
      <c r="E60" t="s">
        <v>546</v>
      </c>
      <c r="F60" t="s">
        <v>462</v>
      </c>
      <c r="G60" t="s">
        <v>547</v>
      </c>
      <c r="H60" t="s">
        <v>548</v>
      </c>
      <c r="I60" t="s">
        <v>406</v>
      </c>
      <c r="J60" t="s">
        <v>742</v>
      </c>
      <c r="K60" t="s">
        <v>748</v>
      </c>
      <c r="L60" t="s">
        <v>748</v>
      </c>
      <c r="M60" t="s">
        <v>748</v>
      </c>
      <c r="N60" t="s">
        <v>748</v>
      </c>
      <c r="AG60">
        <v>12</v>
      </c>
      <c r="AH60">
        <v>21</v>
      </c>
      <c r="AI60">
        <v>32</v>
      </c>
      <c r="AJ60">
        <v>30</v>
      </c>
      <c r="AK60">
        <v>47</v>
      </c>
      <c r="AL60">
        <v>35</v>
      </c>
      <c r="AM60">
        <v>37</v>
      </c>
      <c r="AN60">
        <v>58</v>
      </c>
      <c r="AO60">
        <v>44</v>
      </c>
      <c r="AP60">
        <v>38</v>
      </c>
    </row>
    <row r="61" spans="1:42" ht="17" x14ac:dyDescent="0.2">
      <c r="A61" t="s">
        <v>50</v>
      </c>
      <c r="B61" t="str">
        <f t="shared" si="0"/>
        <v>#....##.##</v>
      </c>
      <c r="C61" t="s">
        <v>549</v>
      </c>
      <c r="D61" s="1" t="s">
        <v>550</v>
      </c>
      <c r="E61" t="s">
        <v>551</v>
      </c>
      <c r="F61" t="s">
        <v>552</v>
      </c>
      <c r="G61" t="s">
        <v>742</v>
      </c>
      <c r="H61" t="s">
        <v>553</v>
      </c>
      <c r="I61" t="s">
        <v>393</v>
      </c>
      <c r="J61" t="s">
        <v>362</v>
      </c>
      <c r="K61" t="s">
        <v>748</v>
      </c>
      <c r="L61" t="s">
        <v>748</v>
      </c>
      <c r="M61" t="s">
        <v>748</v>
      </c>
      <c r="N61" t="s">
        <v>748</v>
      </c>
      <c r="AG61">
        <v>26</v>
      </c>
      <c r="AH61">
        <v>40</v>
      </c>
      <c r="AI61">
        <v>19</v>
      </c>
      <c r="AJ61">
        <v>39</v>
      </c>
      <c r="AK61">
        <v>47</v>
      </c>
      <c r="AL61">
        <v>21</v>
      </c>
      <c r="AM61">
        <v>28</v>
      </c>
      <c r="AN61">
        <v>30</v>
      </c>
      <c r="AO61">
        <v>26</v>
      </c>
      <c r="AP61">
        <v>26</v>
      </c>
    </row>
    <row r="62" spans="1:42" ht="17" x14ac:dyDescent="0.2">
      <c r="A62" t="s">
        <v>51</v>
      </c>
      <c r="B62" t="str">
        <f t="shared" si="0"/>
        <v>...###.#</v>
      </c>
      <c r="C62" t="s">
        <v>727</v>
      </c>
      <c r="D62" s="1" t="s">
        <v>554</v>
      </c>
      <c r="E62" t="s">
        <v>721</v>
      </c>
      <c r="F62" t="s">
        <v>752</v>
      </c>
      <c r="G62" t="s">
        <v>353</v>
      </c>
      <c r="H62" t="s">
        <v>750</v>
      </c>
      <c r="I62" t="s">
        <v>555</v>
      </c>
      <c r="J62" t="s">
        <v>748</v>
      </c>
      <c r="K62" t="s">
        <v>748</v>
      </c>
      <c r="L62" t="s">
        <v>748</v>
      </c>
      <c r="M62" t="s">
        <v>748</v>
      </c>
      <c r="N62" t="s">
        <v>748</v>
      </c>
      <c r="AG62">
        <v>24</v>
      </c>
      <c r="AH62">
        <v>13</v>
      </c>
      <c r="AI62">
        <v>2</v>
      </c>
      <c r="AJ62">
        <v>32</v>
      </c>
      <c r="AK62">
        <v>21</v>
      </c>
      <c r="AL62">
        <v>28</v>
      </c>
      <c r="AM62">
        <v>23</v>
      </c>
      <c r="AN62">
        <v>15</v>
      </c>
    </row>
    <row r="63" spans="1:42" ht="17" x14ac:dyDescent="0.2">
      <c r="A63" t="s">
        <v>52</v>
      </c>
      <c r="B63" t="str">
        <f t="shared" si="0"/>
        <v>####.#</v>
      </c>
      <c r="C63" t="s">
        <v>319</v>
      </c>
      <c r="D63" s="1" t="s">
        <v>556</v>
      </c>
      <c r="E63" t="s">
        <v>526</v>
      </c>
      <c r="F63" t="s">
        <v>482</v>
      </c>
      <c r="G63" t="s">
        <v>371</v>
      </c>
      <c r="H63" t="s">
        <v>729</v>
      </c>
      <c r="I63" t="s">
        <v>359</v>
      </c>
      <c r="J63" t="s">
        <v>748</v>
      </c>
      <c r="K63" t="s">
        <v>748</v>
      </c>
      <c r="L63" t="s">
        <v>748</v>
      </c>
      <c r="M63" t="s">
        <v>748</v>
      </c>
      <c r="N63" t="s">
        <v>748</v>
      </c>
      <c r="AG63">
        <v>15</v>
      </c>
      <c r="AH63">
        <v>19</v>
      </c>
      <c r="AI63">
        <v>9</v>
      </c>
      <c r="AJ63">
        <v>17</v>
      </c>
      <c r="AK63">
        <v>20</v>
      </c>
      <c r="AL63">
        <v>13</v>
      </c>
    </row>
    <row r="64" spans="1:42" ht="17" x14ac:dyDescent="0.2">
      <c r="A64" t="s">
        <v>53</v>
      </c>
      <c r="B64" t="str">
        <f t="shared" si="0"/>
        <v>###.</v>
      </c>
      <c r="C64" t="s">
        <v>317</v>
      </c>
      <c r="D64" s="1" t="s">
        <v>394</v>
      </c>
      <c r="E64" t="s">
        <v>748</v>
      </c>
      <c r="F64" t="s">
        <v>748</v>
      </c>
      <c r="G64" t="s">
        <v>748</v>
      </c>
      <c r="H64" t="s">
        <v>748</v>
      </c>
      <c r="I64" t="s">
        <v>748</v>
      </c>
      <c r="J64" t="s">
        <v>748</v>
      </c>
      <c r="K64" t="s">
        <v>748</v>
      </c>
      <c r="L64" t="s">
        <v>748</v>
      </c>
      <c r="M64" t="s">
        <v>748</v>
      </c>
      <c r="N64" t="s">
        <v>748</v>
      </c>
      <c r="AG64">
        <v>16</v>
      </c>
      <c r="AH64">
        <v>16</v>
      </c>
      <c r="AI64">
        <v>10</v>
      </c>
      <c r="AJ64">
        <v>6</v>
      </c>
    </row>
    <row r="65" spans="1:42" ht="17" x14ac:dyDescent="0.2">
      <c r="A65" t="s">
        <v>54</v>
      </c>
      <c r="B65" t="str">
        <f t="shared" si="0"/>
        <v>.##.##.</v>
      </c>
      <c r="C65" t="s">
        <v>370</v>
      </c>
      <c r="D65" s="1" t="s">
        <v>428</v>
      </c>
      <c r="E65" t="s">
        <v>728</v>
      </c>
      <c r="F65" t="s">
        <v>516</v>
      </c>
      <c r="G65" t="s">
        <v>382</v>
      </c>
      <c r="H65" t="s">
        <v>739</v>
      </c>
      <c r="I65" t="s">
        <v>748</v>
      </c>
      <c r="J65" t="s">
        <v>748</v>
      </c>
      <c r="K65" t="s">
        <v>748</v>
      </c>
      <c r="L65" t="s">
        <v>748</v>
      </c>
      <c r="M65" t="s">
        <v>748</v>
      </c>
      <c r="N65" t="s">
        <v>748</v>
      </c>
      <c r="AG65">
        <v>19</v>
      </c>
      <c r="AH65">
        <v>24</v>
      </c>
      <c r="AI65">
        <v>2</v>
      </c>
      <c r="AJ65">
        <v>37</v>
      </c>
      <c r="AK65">
        <v>33</v>
      </c>
      <c r="AL65">
        <v>11</v>
      </c>
      <c r="AM65">
        <v>20</v>
      </c>
    </row>
    <row r="66" spans="1:42" ht="17" x14ac:dyDescent="0.2">
      <c r="A66" t="s">
        <v>55</v>
      </c>
      <c r="B66" t="str">
        <f t="shared" si="0"/>
        <v>..##.</v>
      </c>
      <c r="C66" t="s">
        <v>520</v>
      </c>
      <c r="D66" s="1" t="s">
        <v>739</v>
      </c>
      <c r="E66" t="s">
        <v>394</v>
      </c>
      <c r="F66" t="s">
        <v>409</v>
      </c>
      <c r="G66" t="s">
        <v>726</v>
      </c>
      <c r="H66" t="s">
        <v>526</v>
      </c>
      <c r="I66" t="s">
        <v>748</v>
      </c>
      <c r="J66" t="s">
        <v>748</v>
      </c>
      <c r="K66" t="s">
        <v>748</v>
      </c>
      <c r="L66" t="s">
        <v>748</v>
      </c>
      <c r="M66" t="s">
        <v>748</v>
      </c>
      <c r="N66" t="s">
        <v>748</v>
      </c>
      <c r="AG66">
        <v>23</v>
      </c>
      <c r="AH66">
        <v>74</v>
      </c>
      <c r="AI66">
        <v>19</v>
      </c>
      <c r="AJ66">
        <v>17</v>
      </c>
      <c r="AK66">
        <v>38</v>
      </c>
    </row>
    <row r="67" spans="1:42" ht="17" x14ac:dyDescent="0.2">
      <c r="A67" t="s">
        <v>56</v>
      </c>
      <c r="B67" t="str">
        <f t="shared" ref="B67:B130" si="1">IFERROR(
  MID(
    A67,
    SEARCH("[",A67)+1,
    SEARCH("]",A67)-SEARCH("[",A67)-1
  ),
  ""
)</f>
        <v>.#.#..</v>
      </c>
      <c r="C67" t="s">
        <v>556</v>
      </c>
      <c r="D67" s="1" t="s">
        <v>557</v>
      </c>
      <c r="E67" t="s">
        <v>433</v>
      </c>
      <c r="F67" t="s">
        <v>720</v>
      </c>
      <c r="G67" t="s">
        <v>558</v>
      </c>
      <c r="H67" t="s">
        <v>728</v>
      </c>
      <c r="I67" t="s">
        <v>748</v>
      </c>
      <c r="J67" t="s">
        <v>748</v>
      </c>
      <c r="K67" t="s">
        <v>748</v>
      </c>
      <c r="L67" t="s">
        <v>748</v>
      </c>
      <c r="M67" t="s">
        <v>748</v>
      </c>
      <c r="N67" t="s">
        <v>748</v>
      </c>
      <c r="AG67">
        <v>16</v>
      </c>
      <c r="AH67">
        <v>33</v>
      </c>
      <c r="AI67">
        <v>47</v>
      </c>
      <c r="AJ67">
        <v>62</v>
      </c>
      <c r="AK67">
        <v>63</v>
      </c>
      <c r="AL67">
        <v>16</v>
      </c>
    </row>
    <row r="68" spans="1:42" ht="17" x14ac:dyDescent="0.2">
      <c r="A68" t="s">
        <v>57</v>
      </c>
      <c r="B68" t="str">
        <f t="shared" si="1"/>
        <v>...###</v>
      </c>
      <c r="C68" t="s">
        <v>728</v>
      </c>
      <c r="D68" s="1" t="s">
        <v>722</v>
      </c>
      <c r="E68" t="s">
        <v>741</v>
      </c>
      <c r="F68" t="s">
        <v>318</v>
      </c>
      <c r="G68" t="s">
        <v>360</v>
      </c>
      <c r="H68" t="s">
        <v>409</v>
      </c>
      <c r="I68" t="s">
        <v>556</v>
      </c>
      <c r="J68" t="s">
        <v>748</v>
      </c>
      <c r="K68" t="s">
        <v>748</v>
      </c>
      <c r="L68" t="s">
        <v>748</v>
      </c>
      <c r="M68" t="s">
        <v>748</v>
      </c>
      <c r="N68" t="s">
        <v>748</v>
      </c>
      <c r="AG68">
        <v>22</v>
      </c>
      <c r="AH68">
        <v>47</v>
      </c>
      <c r="AI68">
        <v>52</v>
      </c>
      <c r="AJ68">
        <v>15</v>
      </c>
      <c r="AK68">
        <v>62</v>
      </c>
      <c r="AL68">
        <v>18</v>
      </c>
    </row>
    <row r="69" spans="1:42" ht="17" x14ac:dyDescent="0.2">
      <c r="A69" t="s">
        <v>58</v>
      </c>
      <c r="B69" t="str">
        <f t="shared" si="1"/>
        <v>.#.#..#</v>
      </c>
      <c r="C69" t="s">
        <v>516</v>
      </c>
      <c r="D69" s="1" t="s">
        <v>559</v>
      </c>
      <c r="E69" t="s">
        <v>560</v>
      </c>
      <c r="F69" t="s">
        <v>362</v>
      </c>
      <c r="G69" t="s">
        <v>371</v>
      </c>
      <c r="H69" t="s">
        <v>561</v>
      </c>
      <c r="I69" t="s">
        <v>748</v>
      </c>
      <c r="J69" t="s">
        <v>748</v>
      </c>
      <c r="K69" t="s">
        <v>748</v>
      </c>
      <c r="L69" t="s">
        <v>748</v>
      </c>
      <c r="M69" t="s">
        <v>748</v>
      </c>
      <c r="N69" t="s">
        <v>748</v>
      </c>
      <c r="AG69">
        <v>62</v>
      </c>
      <c r="AH69">
        <v>56</v>
      </c>
      <c r="AI69">
        <v>41</v>
      </c>
      <c r="AJ69">
        <v>41</v>
      </c>
      <c r="AK69">
        <v>44</v>
      </c>
      <c r="AL69">
        <v>61</v>
      </c>
      <c r="AM69">
        <v>38</v>
      </c>
    </row>
    <row r="70" spans="1:42" ht="17" x14ac:dyDescent="0.2">
      <c r="A70" t="s">
        <v>59</v>
      </c>
      <c r="B70" t="str">
        <f t="shared" si="1"/>
        <v>.#...##</v>
      </c>
      <c r="C70" t="s">
        <v>562</v>
      </c>
      <c r="D70" s="1" t="s">
        <v>371</v>
      </c>
      <c r="E70" t="s">
        <v>489</v>
      </c>
      <c r="F70" t="s">
        <v>384</v>
      </c>
      <c r="G70" t="s">
        <v>557</v>
      </c>
      <c r="H70" t="s">
        <v>722</v>
      </c>
      <c r="I70" t="s">
        <v>563</v>
      </c>
      <c r="J70" t="s">
        <v>564</v>
      </c>
      <c r="K70" t="s">
        <v>726</v>
      </c>
      <c r="L70" t="s">
        <v>748</v>
      </c>
      <c r="M70" t="s">
        <v>748</v>
      </c>
      <c r="N70" t="s">
        <v>748</v>
      </c>
      <c r="AG70">
        <v>261</v>
      </c>
      <c r="AH70">
        <v>227</v>
      </c>
      <c r="AI70">
        <v>260</v>
      </c>
      <c r="AJ70">
        <v>79</v>
      </c>
      <c r="AK70">
        <v>70</v>
      </c>
      <c r="AL70">
        <v>211</v>
      </c>
      <c r="AM70">
        <v>44</v>
      </c>
    </row>
    <row r="71" spans="1:42" ht="17" x14ac:dyDescent="0.2">
      <c r="A71" t="s">
        <v>60</v>
      </c>
      <c r="B71" t="str">
        <f t="shared" si="1"/>
        <v>.##..</v>
      </c>
      <c r="C71" t="s">
        <v>728</v>
      </c>
      <c r="D71" s="1" t="s">
        <v>742</v>
      </c>
      <c r="E71" t="s">
        <v>449</v>
      </c>
      <c r="F71" t="s">
        <v>482</v>
      </c>
      <c r="G71" t="s">
        <v>722</v>
      </c>
      <c r="H71" t="s">
        <v>408</v>
      </c>
      <c r="I71" t="s">
        <v>748</v>
      </c>
      <c r="J71" t="s">
        <v>748</v>
      </c>
      <c r="K71" t="s">
        <v>748</v>
      </c>
      <c r="L71" t="s">
        <v>748</v>
      </c>
      <c r="M71" t="s">
        <v>748</v>
      </c>
      <c r="N71" t="s">
        <v>748</v>
      </c>
      <c r="AG71">
        <v>20</v>
      </c>
      <c r="AH71">
        <v>31</v>
      </c>
      <c r="AI71">
        <v>15</v>
      </c>
      <c r="AJ71">
        <v>32</v>
      </c>
      <c r="AK71">
        <v>48</v>
      </c>
    </row>
    <row r="72" spans="1:42" ht="17" x14ac:dyDescent="0.2">
      <c r="A72" t="s">
        <v>146</v>
      </c>
      <c r="B72" t="str">
        <f t="shared" si="1"/>
        <v>..#.##.##.</v>
      </c>
      <c r="C72" t="s">
        <v>565</v>
      </c>
      <c r="D72" s="1" t="s">
        <v>566</v>
      </c>
      <c r="E72" t="s">
        <v>426</v>
      </c>
      <c r="F72" t="s">
        <v>567</v>
      </c>
      <c r="G72" t="s">
        <v>480</v>
      </c>
      <c r="H72" t="s">
        <v>492</v>
      </c>
      <c r="I72" t="s">
        <v>321</v>
      </c>
      <c r="J72" t="s">
        <v>751</v>
      </c>
      <c r="K72" t="s">
        <v>568</v>
      </c>
      <c r="L72" t="s">
        <v>569</v>
      </c>
      <c r="M72" t="s">
        <v>570</v>
      </c>
      <c r="N72" t="s">
        <v>571</v>
      </c>
      <c r="AG72">
        <v>100</v>
      </c>
      <c r="AH72">
        <v>80</v>
      </c>
      <c r="AI72">
        <v>97</v>
      </c>
      <c r="AJ72">
        <v>70</v>
      </c>
      <c r="AK72">
        <v>87</v>
      </c>
      <c r="AL72">
        <v>100</v>
      </c>
      <c r="AM72">
        <v>95</v>
      </c>
      <c r="AN72">
        <v>118</v>
      </c>
      <c r="AO72">
        <v>50</v>
      </c>
      <c r="AP72">
        <v>75</v>
      </c>
    </row>
    <row r="73" spans="1:42" ht="17" x14ac:dyDescent="0.2">
      <c r="A73" t="s">
        <v>61</v>
      </c>
      <c r="B73" t="str">
        <f t="shared" si="1"/>
        <v>#..##.###</v>
      </c>
      <c r="C73" t="s">
        <v>572</v>
      </c>
      <c r="D73" s="1" t="s">
        <v>525</v>
      </c>
      <c r="E73" t="s">
        <v>573</v>
      </c>
      <c r="F73" t="s">
        <v>354</v>
      </c>
      <c r="G73" t="s">
        <v>392</v>
      </c>
      <c r="H73" t="s">
        <v>574</v>
      </c>
      <c r="I73" t="s">
        <v>575</v>
      </c>
      <c r="J73" t="s">
        <v>541</v>
      </c>
      <c r="K73" t="s">
        <v>748</v>
      </c>
      <c r="L73" t="s">
        <v>748</v>
      </c>
      <c r="M73" t="s">
        <v>748</v>
      </c>
      <c r="N73" t="s">
        <v>748</v>
      </c>
      <c r="AG73">
        <v>41</v>
      </c>
      <c r="AH73">
        <v>68</v>
      </c>
      <c r="AI73">
        <v>48</v>
      </c>
      <c r="AJ73">
        <v>68</v>
      </c>
      <c r="AK73">
        <v>23</v>
      </c>
      <c r="AL73">
        <v>69</v>
      </c>
      <c r="AM73">
        <v>61</v>
      </c>
      <c r="AN73">
        <v>94</v>
      </c>
      <c r="AO73">
        <v>76</v>
      </c>
    </row>
    <row r="74" spans="1:42" ht="17" x14ac:dyDescent="0.2">
      <c r="A74" t="s">
        <v>62</v>
      </c>
      <c r="B74" t="str">
        <f t="shared" si="1"/>
        <v>###..##.</v>
      </c>
      <c r="C74" t="s">
        <v>393</v>
      </c>
      <c r="D74" s="1" t="s">
        <v>576</v>
      </c>
      <c r="E74" t="s">
        <v>435</v>
      </c>
      <c r="F74" t="s">
        <v>561</v>
      </c>
      <c r="G74" t="s">
        <v>433</v>
      </c>
      <c r="H74" t="s">
        <v>577</v>
      </c>
      <c r="I74" t="s">
        <v>762</v>
      </c>
      <c r="J74" t="s">
        <v>748</v>
      </c>
      <c r="K74" t="s">
        <v>748</v>
      </c>
      <c r="L74" t="s">
        <v>748</v>
      </c>
      <c r="M74" t="s">
        <v>748</v>
      </c>
      <c r="N74" t="s">
        <v>748</v>
      </c>
      <c r="AG74">
        <v>29</v>
      </c>
      <c r="AH74">
        <v>21</v>
      </c>
      <c r="AI74">
        <v>37</v>
      </c>
      <c r="AJ74">
        <v>203</v>
      </c>
      <c r="AK74">
        <v>31</v>
      </c>
      <c r="AL74">
        <v>16</v>
      </c>
      <c r="AM74">
        <v>1</v>
      </c>
      <c r="AN74">
        <v>206</v>
      </c>
    </row>
    <row r="75" spans="1:42" ht="17" x14ac:dyDescent="0.2">
      <c r="A75" t="s">
        <v>63</v>
      </c>
      <c r="B75" t="str">
        <f t="shared" si="1"/>
        <v>#....###.</v>
      </c>
      <c r="C75" t="s">
        <v>578</v>
      </c>
      <c r="D75" s="1" t="s">
        <v>731</v>
      </c>
      <c r="E75" t="s">
        <v>741</v>
      </c>
      <c r="F75" t="s">
        <v>579</v>
      </c>
      <c r="G75" t="s">
        <v>580</v>
      </c>
      <c r="H75" t="s">
        <v>518</v>
      </c>
      <c r="I75" t="s">
        <v>493</v>
      </c>
      <c r="J75" t="s">
        <v>748</v>
      </c>
      <c r="K75" t="s">
        <v>748</v>
      </c>
      <c r="L75" t="s">
        <v>748</v>
      </c>
      <c r="M75" t="s">
        <v>748</v>
      </c>
      <c r="N75" t="s">
        <v>748</v>
      </c>
      <c r="AG75">
        <v>156</v>
      </c>
      <c r="AH75">
        <v>49</v>
      </c>
      <c r="AI75">
        <v>151</v>
      </c>
      <c r="AJ75">
        <v>36</v>
      </c>
      <c r="AK75">
        <v>17</v>
      </c>
      <c r="AL75">
        <v>27</v>
      </c>
      <c r="AM75">
        <v>17</v>
      </c>
      <c r="AN75">
        <v>13</v>
      </c>
      <c r="AO75">
        <v>145</v>
      </c>
    </row>
    <row r="76" spans="1:42" ht="17" x14ac:dyDescent="0.2">
      <c r="A76" t="s">
        <v>64</v>
      </c>
      <c r="B76" t="str">
        <f t="shared" si="1"/>
        <v>.#..####</v>
      </c>
      <c r="C76" t="s">
        <v>384</v>
      </c>
      <c r="D76" s="1" t="s">
        <v>720</v>
      </c>
      <c r="E76" t="s">
        <v>498</v>
      </c>
      <c r="F76" t="s">
        <v>529</v>
      </c>
      <c r="G76" t="s">
        <v>396</v>
      </c>
      <c r="H76" t="s">
        <v>559</v>
      </c>
      <c r="I76" t="s">
        <v>748</v>
      </c>
      <c r="J76" t="s">
        <v>748</v>
      </c>
      <c r="K76" t="s">
        <v>748</v>
      </c>
      <c r="L76" t="s">
        <v>748</v>
      </c>
      <c r="M76" t="s">
        <v>748</v>
      </c>
      <c r="N76" t="s">
        <v>748</v>
      </c>
      <c r="AG76">
        <v>33</v>
      </c>
      <c r="AH76">
        <v>53</v>
      </c>
      <c r="AI76">
        <v>47</v>
      </c>
      <c r="AJ76">
        <v>35</v>
      </c>
      <c r="AK76">
        <v>54</v>
      </c>
      <c r="AL76">
        <v>15</v>
      </c>
      <c r="AM76">
        <v>69</v>
      </c>
      <c r="AN76">
        <v>36</v>
      </c>
    </row>
    <row r="77" spans="1:42" ht="17" x14ac:dyDescent="0.2">
      <c r="A77" t="s">
        <v>65</v>
      </c>
      <c r="B77" t="str">
        <f t="shared" si="1"/>
        <v>#.##..</v>
      </c>
      <c r="C77" t="s">
        <v>435</v>
      </c>
      <c r="D77" s="1" t="s">
        <v>317</v>
      </c>
      <c r="E77" t="s">
        <v>318</v>
      </c>
      <c r="F77" t="s">
        <v>742</v>
      </c>
      <c r="G77" t="s">
        <v>744</v>
      </c>
      <c r="H77" t="s">
        <v>436</v>
      </c>
      <c r="I77" t="s">
        <v>720</v>
      </c>
      <c r="J77" t="s">
        <v>495</v>
      </c>
      <c r="K77" t="s">
        <v>748</v>
      </c>
      <c r="L77" t="s">
        <v>748</v>
      </c>
      <c r="M77" t="s">
        <v>748</v>
      </c>
      <c r="N77" t="s">
        <v>748</v>
      </c>
      <c r="AG77">
        <v>45</v>
      </c>
      <c r="AH77">
        <v>32</v>
      </c>
      <c r="AI77">
        <v>65</v>
      </c>
      <c r="AJ77">
        <v>44</v>
      </c>
      <c r="AK77">
        <v>41</v>
      </c>
      <c r="AL77">
        <v>30</v>
      </c>
    </row>
    <row r="78" spans="1:42" ht="17" x14ac:dyDescent="0.2">
      <c r="A78" t="s">
        <v>66</v>
      </c>
      <c r="B78" t="str">
        <f t="shared" si="1"/>
        <v>#..#.###</v>
      </c>
      <c r="C78" t="s">
        <v>720</v>
      </c>
      <c r="D78" s="1" t="s">
        <v>394</v>
      </c>
      <c r="E78" t="s">
        <v>581</v>
      </c>
      <c r="F78" t="s">
        <v>753</v>
      </c>
      <c r="G78" t="s">
        <v>726</v>
      </c>
      <c r="H78" t="s">
        <v>582</v>
      </c>
      <c r="I78" t="s">
        <v>436</v>
      </c>
      <c r="J78" t="s">
        <v>519</v>
      </c>
      <c r="K78" t="s">
        <v>583</v>
      </c>
      <c r="L78" t="s">
        <v>748</v>
      </c>
      <c r="M78" t="s">
        <v>748</v>
      </c>
      <c r="N78" t="s">
        <v>748</v>
      </c>
      <c r="AG78">
        <v>28</v>
      </c>
      <c r="AH78">
        <v>20</v>
      </c>
      <c r="AI78">
        <v>43</v>
      </c>
      <c r="AJ78">
        <v>14</v>
      </c>
      <c r="AK78">
        <v>32</v>
      </c>
      <c r="AL78">
        <v>29</v>
      </c>
      <c r="AM78">
        <v>16</v>
      </c>
      <c r="AN78">
        <v>16</v>
      </c>
    </row>
    <row r="79" spans="1:42" ht="17" x14ac:dyDescent="0.2">
      <c r="A79" t="s">
        <v>67</v>
      </c>
      <c r="B79" t="str">
        <f t="shared" si="1"/>
        <v>....##.#.</v>
      </c>
      <c r="C79" t="s">
        <v>584</v>
      </c>
      <c r="D79" s="1" t="s">
        <v>357</v>
      </c>
      <c r="E79" t="s">
        <v>585</v>
      </c>
      <c r="F79" t="s">
        <v>586</v>
      </c>
      <c r="G79" t="s">
        <v>743</v>
      </c>
      <c r="H79" t="s">
        <v>587</v>
      </c>
      <c r="I79" t="s">
        <v>588</v>
      </c>
      <c r="J79" t="s">
        <v>748</v>
      </c>
      <c r="K79" t="s">
        <v>748</v>
      </c>
      <c r="L79" t="s">
        <v>748</v>
      </c>
      <c r="M79" t="s">
        <v>748</v>
      </c>
      <c r="N79" t="s">
        <v>748</v>
      </c>
      <c r="AG79">
        <v>33</v>
      </c>
      <c r="AH79">
        <v>23</v>
      </c>
      <c r="AI79">
        <v>45</v>
      </c>
      <c r="AJ79">
        <v>8</v>
      </c>
      <c r="AK79">
        <v>46</v>
      </c>
      <c r="AL79">
        <v>38</v>
      </c>
      <c r="AM79">
        <v>47</v>
      </c>
      <c r="AN79">
        <v>23</v>
      </c>
      <c r="AO79">
        <v>19</v>
      </c>
    </row>
    <row r="80" spans="1:42" ht="17" x14ac:dyDescent="0.2">
      <c r="A80" t="s">
        <v>68</v>
      </c>
      <c r="B80" t="str">
        <f t="shared" si="1"/>
        <v>#.##.##</v>
      </c>
      <c r="C80" t="s">
        <v>729</v>
      </c>
      <c r="D80" s="1" t="s">
        <v>726</v>
      </c>
      <c r="E80" t="s">
        <v>560</v>
      </c>
      <c r="F80" t="s">
        <v>589</v>
      </c>
      <c r="G80" t="s">
        <v>319</v>
      </c>
      <c r="H80" t="s">
        <v>590</v>
      </c>
      <c r="I80" t="s">
        <v>371</v>
      </c>
      <c r="J80" t="s">
        <v>564</v>
      </c>
      <c r="K80" t="s">
        <v>748</v>
      </c>
      <c r="L80" t="s">
        <v>748</v>
      </c>
      <c r="M80" t="s">
        <v>748</v>
      </c>
      <c r="N80" t="s">
        <v>748</v>
      </c>
      <c r="AG80">
        <v>91</v>
      </c>
      <c r="AH80">
        <v>67</v>
      </c>
      <c r="AI80">
        <v>38</v>
      </c>
      <c r="AJ80">
        <v>63</v>
      </c>
      <c r="AK80">
        <v>31</v>
      </c>
      <c r="AL80">
        <v>58</v>
      </c>
      <c r="AM80">
        <v>44</v>
      </c>
    </row>
    <row r="81" spans="1:42" ht="17" x14ac:dyDescent="0.2">
      <c r="A81" t="s">
        <v>69</v>
      </c>
      <c r="B81" t="str">
        <f t="shared" si="1"/>
        <v>###.##</v>
      </c>
      <c r="C81" t="s">
        <v>323</v>
      </c>
      <c r="D81" s="1" t="s">
        <v>560</v>
      </c>
      <c r="E81" t="s">
        <v>394</v>
      </c>
      <c r="F81" t="s">
        <v>495</v>
      </c>
      <c r="G81" t="s">
        <v>317</v>
      </c>
      <c r="H81" t="s">
        <v>748</v>
      </c>
      <c r="I81" t="s">
        <v>748</v>
      </c>
      <c r="J81" t="s">
        <v>748</v>
      </c>
      <c r="K81" t="s">
        <v>748</v>
      </c>
      <c r="L81" t="s">
        <v>748</v>
      </c>
      <c r="M81" t="s">
        <v>748</v>
      </c>
      <c r="N81" t="s">
        <v>748</v>
      </c>
      <c r="AG81">
        <v>150</v>
      </c>
      <c r="AH81">
        <v>12</v>
      </c>
      <c r="AI81">
        <v>120</v>
      </c>
      <c r="AJ81">
        <v>30</v>
      </c>
      <c r="AK81">
        <v>138</v>
      </c>
      <c r="AL81">
        <v>138</v>
      </c>
    </row>
    <row r="82" spans="1:42" ht="17" x14ac:dyDescent="0.2">
      <c r="A82" t="s">
        <v>70</v>
      </c>
      <c r="B82" t="str">
        <f t="shared" si="1"/>
        <v>#.....##</v>
      </c>
      <c r="C82" t="s">
        <v>499</v>
      </c>
      <c r="D82" s="1" t="s">
        <v>722</v>
      </c>
      <c r="E82" t="s">
        <v>591</v>
      </c>
      <c r="F82" t="s">
        <v>592</v>
      </c>
      <c r="G82" t="s">
        <v>593</v>
      </c>
      <c r="H82" t="s">
        <v>594</v>
      </c>
      <c r="I82" t="s">
        <v>736</v>
      </c>
      <c r="J82" t="s">
        <v>595</v>
      </c>
      <c r="K82" t="s">
        <v>596</v>
      </c>
      <c r="L82" t="s">
        <v>572</v>
      </c>
      <c r="M82" t="s">
        <v>748</v>
      </c>
      <c r="N82" t="s">
        <v>748</v>
      </c>
      <c r="AG82">
        <v>22</v>
      </c>
      <c r="AH82">
        <v>23</v>
      </c>
      <c r="AI82">
        <v>64</v>
      </c>
      <c r="AJ82">
        <v>63</v>
      </c>
      <c r="AK82">
        <v>33</v>
      </c>
      <c r="AL82">
        <v>26</v>
      </c>
      <c r="AM82">
        <v>47</v>
      </c>
      <c r="AN82">
        <v>77</v>
      </c>
    </row>
    <row r="83" spans="1:42" ht="17" x14ac:dyDescent="0.2">
      <c r="A83" t="s">
        <v>71</v>
      </c>
      <c r="B83" t="str">
        <f t="shared" si="1"/>
        <v>.#.#</v>
      </c>
      <c r="C83" t="s">
        <v>730</v>
      </c>
      <c r="D83" s="1" t="s">
        <v>317</v>
      </c>
      <c r="E83" t="s">
        <v>729</v>
      </c>
      <c r="F83" t="s">
        <v>733</v>
      </c>
      <c r="G83" t="s">
        <v>724</v>
      </c>
      <c r="H83" t="s">
        <v>721</v>
      </c>
      <c r="I83" t="s">
        <v>748</v>
      </c>
      <c r="J83" t="s">
        <v>748</v>
      </c>
      <c r="K83" t="s">
        <v>748</v>
      </c>
      <c r="L83" t="s">
        <v>748</v>
      </c>
      <c r="M83" t="s">
        <v>748</v>
      </c>
      <c r="N83" t="s">
        <v>748</v>
      </c>
      <c r="AG83">
        <v>40</v>
      </c>
      <c r="AH83">
        <v>26</v>
      </c>
      <c r="AI83">
        <v>13</v>
      </c>
      <c r="AJ83">
        <v>24</v>
      </c>
    </row>
    <row r="84" spans="1:42" ht="17" x14ac:dyDescent="0.2">
      <c r="A84" t="s">
        <v>72</v>
      </c>
      <c r="B84" t="str">
        <f t="shared" si="1"/>
        <v>.###</v>
      </c>
      <c r="C84" t="s">
        <v>729</v>
      </c>
      <c r="D84" s="1" t="s">
        <v>725</v>
      </c>
      <c r="E84" t="s">
        <v>733</v>
      </c>
      <c r="F84" t="s">
        <v>394</v>
      </c>
      <c r="G84" t="s">
        <v>731</v>
      </c>
      <c r="H84" t="s">
        <v>722</v>
      </c>
      <c r="I84" t="s">
        <v>748</v>
      </c>
      <c r="J84" t="s">
        <v>748</v>
      </c>
      <c r="K84" t="s">
        <v>748</v>
      </c>
      <c r="L84" t="s">
        <v>748</v>
      </c>
      <c r="M84" t="s">
        <v>748</v>
      </c>
      <c r="N84" t="s">
        <v>748</v>
      </c>
      <c r="AG84">
        <v>49</v>
      </c>
      <c r="AH84">
        <v>50</v>
      </c>
      <c r="AI84">
        <v>27</v>
      </c>
      <c r="AJ84">
        <v>26</v>
      </c>
    </row>
    <row r="85" spans="1:42" ht="17" x14ac:dyDescent="0.2">
      <c r="A85" t="s">
        <v>73</v>
      </c>
      <c r="B85" t="str">
        <f t="shared" si="1"/>
        <v>#.###</v>
      </c>
      <c r="C85" t="s">
        <v>433</v>
      </c>
      <c r="D85" s="1" t="s">
        <v>557</v>
      </c>
      <c r="E85" t="s">
        <v>729</v>
      </c>
      <c r="F85" t="s">
        <v>748</v>
      </c>
      <c r="G85" t="s">
        <v>748</v>
      </c>
      <c r="H85" t="s">
        <v>748</v>
      </c>
      <c r="I85" t="s">
        <v>748</v>
      </c>
      <c r="J85" t="s">
        <v>748</v>
      </c>
      <c r="K85" t="s">
        <v>748</v>
      </c>
      <c r="L85" t="s">
        <v>748</v>
      </c>
      <c r="M85" t="s">
        <v>748</v>
      </c>
      <c r="N85" t="s">
        <v>748</v>
      </c>
      <c r="AG85">
        <v>14</v>
      </c>
      <c r="AH85">
        <v>2</v>
      </c>
      <c r="AI85">
        <v>13</v>
      </c>
      <c r="AJ85">
        <v>16</v>
      </c>
      <c r="AK85">
        <v>13</v>
      </c>
    </row>
    <row r="86" spans="1:42" ht="17" x14ac:dyDescent="0.2">
      <c r="A86" t="s">
        <v>74</v>
      </c>
      <c r="B86" t="str">
        <f t="shared" si="1"/>
        <v>.##.</v>
      </c>
      <c r="C86" t="s">
        <v>318</v>
      </c>
      <c r="D86" s="1" t="s">
        <v>721</v>
      </c>
      <c r="E86" t="s">
        <v>394</v>
      </c>
      <c r="F86" t="s">
        <v>726</v>
      </c>
      <c r="G86" t="s">
        <v>725</v>
      </c>
      <c r="H86" t="s">
        <v>748</v>
      </c>
      <c r="I86" t="s">
        <v>748</v>
      </c>
      <c r="J86" t="s">
        <v>748</v>
      </c>
      <c r="K86" t="s">
        <v>748</v>
      </c>
      <c r="L86" t="s">
        <v>748</v>
      </c>
      <c r="M86" t="s">
        <v>748</v>
      </c>
      <c r="N86" t="s">
        <v>748</v>
      </c>
      <c r="AG86">
        <v>35</v>
      </c>
      <c r="AH86">
        <v>158</v>
      </c>
      <c r="AI86">
        <v>30</v>
      </c>
      <c r="AJ86">
        <v>18</v>
      </c>
    </row>
    <row r="87" spans="1:42" ht="17" x14ac:dyDescent="0.2">
      <c r="A87" t="s">
        <v>75</v>
      </c>
      <c r="B87" t="str">
        <f t="shared" si="1"/>
        <v>#..##</v>
      </c>
      <c r="C87" t="s">
        <v>435</v>
      </c>
      <c r="D87" s="1" t="s">
        <v>725</v>
      </c>
      <c r="E87" t="s">
        <v>741</v>
      </c>
      <c r="F87" t="s">
        <v>557</v>
      </c>
      <c r="G87" t="s">
        <v>394</v>
      </c>
      <c r="H87" t="s">
        <v>748</v>
      </c>
      <c r="I87" t="s">
        <v>748</v>
      </c>
      <c r="J87" t="s">
        <v>748</v>
      </c>
      <c r="K87" t="s">
        <v>748</v>
      </c>
      <c r="L87" t="s">
        <v>748</v>
      </c>
      <c r="M87" t="s">
        <v>748</v>
      </c>
      <c r="N87" t="s">
        <v>748</v>
      </c>
      <c r="AG87">
        <v>169</v>
      </c>
      <c r="AH87">
        <v>14</v>
      </c>
      <c r="AI87">
        <v>161</v>
      </c>
      <c r="AJ87">
        <v>156</v>
      </c>
      <c r="AK87">
        <v>150</v>
      </c>
    </row>
    <row r="88" spans="1:42" ht="17" x14ac:dyDescent="0.2">
      <c r="A88" t="s">
        <v>147</v>
      </c>
      <c r="B88" t="str">
        <f t="shared" si="1"/>
        <v>..###.#.##</v>
      </c>
      <c r="C88" t="s">
        <v>463</v>
      </c>
      <c r="D88" s="1" t="s">
        <v>597</v>
      </c>
      <c r="E88" t="s">
        <v>598</v>
      </c>
      <c r="F88" t="s">
        <v>599</v>
      </c>
      <c r="G88" t="s">
        <v>600</v>
      </c>
      <c r="H88" t="s">
        <v>601</v>
      </c>
      <c r="I88" t="s">
        <v>376</v>
      </c>
      <c r="J88" t="s">
        <v>474</v>
      </c>
      <c r="K88" t="s">
        <v>602</v>
      </c>
      <c r="L88" t="s">
        <v>766</v>
      </c>
      <c r="M88" t="s">
        <v>603</v>
      </c>
      <c r="N88" t="s">
        <v>748</v>
      </c>
      <c r="AG88">
        <v>59</v>
      </c>
      <c r="AH88">
        <v>58</v>
      </c>
      <c r="AI88">
        <v>68</v>
      </c>
      <c r="AJ88">
        <v>84</v>
      </c>
      <c r="AK88">
        <v>101</v>
      </c>
      <c r="AL88" t="s">
        <v>841</v>
      </c>
      <c r="AM88">
        <v>85</v>
      </c>
      <c r="AN88">
        <v>85</v>
      </c>
      <c r="AO88">
        <v>111</v>
      </c>
      <c r="AP88">
        <v>80</v>
      </c>
    </row>
    <row r="89" spans="1:42" ht="17" x14ac:dyDescent="0.2">
      <c r="A89" t="s">
        <v>76</v>
      </c>
      <c r="B89" t="str">
        <f t="shared" si="1"/>
        <v>..#.####.</v>
      </c>
      <c r="C89" t="s">
        <v>581</v>
      </c>
      <c r="D89" s="1" t="s">
        <v>743</v>
      </c>
      <c r="E89" t="s">
        <v>583</v>
      </c>
      <c r="F89" t="s">
        <v>754</v>
      </c>
      <c r="G89" t="s">
        <v>755</v>
      </c>
      <c r="H89" t="s">
        <v>604</v>
      </c>
      <c r="I89" t="s">
        <v>354</v>
      </c>
      <c r="J89" t="s">
        <v>605</v>
      </c>
      <c r="K89" t="s">
        <v>606</v>
      </c>
      <c r="L89" t="s">
        <v>592</v>
      </c>
      <c r="M89" t="s">
        <v>474</v>
      </c>
      <c r="N89" t="s">
        <v>748</v>
      </c>
      <c r="AG89">
        <v>76</v>
      </c>
      <c r="AH89">
        <v>46</v>
      </c>
      <c r="AI89">
        <v>52</v>
      </c>
      <c r="AJ89">
        <v>46</v>
      </c>
      <c r="AK89">
        <v>29</v>
      </c>
      <c r="AL89">
        <v>224</v>
      </c>
      <c r="AM89">
        <v>63</v>
      </c>
      <c r="AN89">
        <v>223</v>
      </c>
      <c r="AO89">
        <v>234</v>
      </c>
    </row>
    <row r="90" spans="1:42" ht="17" x14ac:dyDescent="0.2">
      <c r="A90" t="s">
        <v>77</v>
      </c>
      <c r="B90" t="str">
        <f t="shared" si="1"/>
        <v>#.#.#.</v>
      </c>
      <c r="C90" t="s">
        <v>402</v>
      </c>
      <c r="D90" s="1" t="s">
        <v>607</v>
      </c>
      <c r="E90" t="s">
        <v>518</v>
      </c>
      <c r="F90" t="s">
        <v>419</v>
      </c>
      <c r="G90" t="s">
        <v>496</v>
      </c>
      <c r="H90" t="s">
        <v>748</v>
      </c>
      <c r="I90" t="s">
        <v>748</v>
      </c>
      <c r="J90" t="s">
        <v>748</v>
      </c>
      <c r="K90" t="s">
        <v>748</v>
      </c>
      <c r="L90" t="s">
        <v>748</v>
      </c>
      <c r="M90" t="s">
        <v>748</v>
      </c>
      <c r="N90" t="s">
        <v>748</v>
      </c>
      <c r="AG90">
        <v>22</v>
      </c>
      <c r="AH90">
        <v>221</v>
      </c>
      <c r="AI90">
        <v>214</v>
      </c>
      <c r="AJ90">
        <v>201</v>
      </c>
      <c r="AK90">
        <v>194</v>
      </c>
      <c r="AL90">
        <v>221</v>
      </c>
    </row>
    <row r="91" spans="1:42" ht="17" x14ac:dyDescent="0.2">
      <c r="A91" t="s">
        <v>148</v>
      </c>
      <c r="B91" t="str">
        <f t="shared" si="1"/>
        <v>##.###...#</v>
      </c>
      <c r="C91" t="s">
        <v>608</v>
      </c>
      <c r="D91" s="1" t="s">
        <v>609</v>
      </c>
      <c r="E91" t="s">
        <v>725</v>
      </c>
      <c r="F91" t="s">
        <v>610</v>
      </c>
      <c r="G91" t="s">
        <v>732</v>
      </c>
      <c r="H91" t="s">
        <v>611</v>
      </c>
      <c r="I91" t="s">
        <v>612</v>
      </c>
      <c r="J91" t="s">
        <v>460</v>
      </c>
      <c r="K91" t="s">
        <v>613</v>
      </c>
      <c r="L91" t="s">
        <v>614</v>
      </c>
      <c r="M91" t="s">
        <v>615</v>
      </c>
      <c r="N91" t="s">
        <v>616</v>
      </c>
      <c r="AG91">
        <v>12</v>
      </c>
      <c r="AH91">
        <v>43</v>
      </c>
      <c r="AI91">
        <v>64</v>
      </c>
      <c r="AJ91">
        <v>59</v>
      </c>
      <c r="AK91">
        <v>37</v>
      </c>
      <c r="AL91">
        <v>64</v>
      </c>
      <c r="AM91">
        <v>73</v>
      </c>
      <c r="AN91">
        <v>63</v>
      </c>
      <c r="AO91">
        <v>47</v>
      </c>
      <c r="AP91">
        <v>50</v>
      </c>
    </row>
    <row r="92" spans="1:42" ht="17" x14ac:dyDescent="0.2">
      <c r="A92" t="s">
        <v>78</v>
      </c>
      <c r="B92" t="str">
        <f t="shared" si="1"/>
        <v>.#.###</v>
      </c>
      <c r="C92" t="s">
        <v>434</v>
      </c>
      <c r="D92" s="1" t="s">
        <v>583</v>
      </c>
      <c r="E92" t="s">
        <v>738</v>
      </c>
      <c r="F92" t="s">
        <v>720</v>
      </c>
      <c r="G92" t="s">
        <v>371</v>
      </c>
      <c r="H92" t="s">
        <v>320</v>
      </c>
      <c r="I92" t="s">
        <v>744</v>
      </c>
      <c r="J92" t="s">
        <v>361</v>
      </c>
      <c r="K92" t="s">
        <v>748</v>
      </c>
      <c r="L92" t="s">
        <v>748</v>
      </c>
      <c r="M92" t="s">
        <v>748</v>
      </c>
      <c r="N92" t="s">
        <v>748</v>
      </c>
      <c r="AG92">
        <v>46</v>
      </c>
      <c r="AH92">
        <v>58</v>
      </c>
      <c r="AI92">
        <v>68</v>
      </c>
      <c r="AJ92">
        <v>55</v>
      </c>
      <c r="AK92">
        <v>76</v>
      </c>
      <c r="AL92">
        <v>80</v>
      </c>
    </row>
    <row r="93" spans="1:42" ht="17" x14ac:dyDescent="0.2">
      <c r="A93" t="s">
        <v>79</v>
      </c>
      <c r="B93" t="str">
        <f t="shared" si="1"/>
        <v>..#.###.##</v>
      </c>
      <c r="C93" t="s">
        <v>617</v>
      </c>
      <c r="D93" s="1" t="s">
        <v>618</v>
      </c>
      <c r="E93" t="s">
        <v>405</v>
      </c>
      <c r="F93" t="s">
        <v>619</v>
      </c>
      <c r="G93" t="s">
        <v>620</v>
      </c>
      <c r="H93" t="s">
        <v>321</v>
      </c>
      <c r="I93" t="s">
        <v>621</v>
      </c>
      <c r="J93" t="s">
        <v>376</v>
      </c>
      <c r="K93" t="s">
        <v>380</v>
      </c>
      <c r="L93" t="s">
        <v>748</v>
      </c>
      <c r="M93" t="s">
        <v>748</v>
      </c>
      <c r="N93" t="s">
        <v>748</v>
      </c>
      <c r="AG93">
        <v>59</v>
      </c>
      <c r="AH93">
        <v>60</v>
      </c>
      <c r="AI93">
        <v>53</v>
      </c>
      <c r="AJ93">
        <v>58</v>
      </c>
      <c r="AK93">
        <v>79</v>
      </c>
      <c r="AL93">
        <v>39</v>
      </c>
      <c r="AM93">
        <v>72</v>
      </c>
      <c r="AN93">
        <v>94</v>
      </c>
      <c r="AO93">
        <v>67</v>
      </c>
      <c r="AP93">
        <v>57</v>
      </c>
    </row>
    <row r="94" spans="1:42" ht="17" x14ac:dyDescent="0.2">
      <c r="A94" t="s">
        <v>80</v>
      </c>
      <c r="B94" t="str">
        <f t="shared" si="1"/>
        <v>#####...</v>
      </c>
      <c r="C94" t="s">
        <v>622</v>
      </c>
      <c r="D94" s="1" t="s">
        <v>435</v>
      </c>
      <c r="E94" t="s">
        <v>404</v>
      </c>
      <c r="F94" t="s">
        <v>529</v>
      </c>
      <c r="G94" t="s">
        <v>743</v>
      </c>
      <c r="H94" t="s">
        <v>623</v>
      </c>
      <c r="I94" t="s">
        <v>624</v>
      </c>
      <c r="J94" t="s">
        <v>320</v>
      </c>
      <c r="K94" t="s">
        <v>370</v>
      </c>
      <c r="L94" t="s">
        <v>559</v>
      </c>
      <c r="M94" t="s">
        <v>748</v>
      </c>
      <c r="N94" t="s">
        <v>748</v>
      </c>
      <c r="AG94">
        <v>159</v>
      </c>
      <c r="AH94">
        <v>82</v>
      </c>
      <c r="AI94">
        <v>48</v>
      </c>
      <c r="AJ94">
        <v>57</v>
      </c>
      <c r="AK94">
        <v>75</v>
      </c>
      <c r="AL94">
        <v>41</v>
      </c>
      <c r="AM94">
        <v>184</v>
      </c>
      <c r="AN94">
        <v>35</v>
      </c>
    </row>
    <row r="95" spans="1:42" ht="17" x14ac:dyDescent="0.2">
      <c r="A95" t="s">
        <v>81</v>
      </c>
      <c r="B95" t="str">
        <f t="shared" si="1"/>
        <v>.#...##</v>
      </c>
      <c r="C95" t="s">
        <v>624</v>
      </c>
      <c r="D95" s="1" t="s">
        <v>560</v>
      </c>
      <c r="E95" t="s">
        <v>721</v>
      </c>
      <c r="F95" t="s">
        <v>625</v>
      </c>
      <c r="G95" t="s">
        <v>725</v>
      </c>
      <c r="H95" t="s">
        <v>748</v>
      </c>
      <c r="I95" t="s">
        <v>748</v>
      </c>
      <c r="J95" t="s">
        <v>748</v>
      </c>
      <c r="K95" t="s">
        <v>748</v>
      </c>
      <c r="L95" t="s">
        <v>748</v>
      </c>
      <c r="M95" t="s">
        <v>748</v>
      </c>
      <c r="N95" t="s">
        <v>748</v>
      </c>
      <c r="AG95">
        <v>35</v>
      </c>
      <c r="AH95">
        <v>20</v>
      </c>
      <c r="AI95">
        <v>35</v>
      </c>
      <c r="AJ95">
        <v>14</v>
      </c>
      <c r="AK95">
        <v>28</v>
      </c>
      <c r="AL95">
        <v>27</v>
      </c>
      <c r="AM95">
        <v>8</v>
      </c>
    </row>
    <row r="96" spans="1:42" ht="17" x14ac:dyDescent="0.2">
      <c r="A96" t="s">
        <v>82</v>
      </c>
      <c r="B96" t="str">
        <f t="shared" si="1"/>
        <v>.....#</v>
      </c>
      <c r="C96" t="s">
        <v>722</v>
      </c>
      <c r="D96" s="1" t="s">
        <v>365</v>
      </c>
      <c r="E96" t="s">
        <v>432</v>
      </c>
      <c r="F96" t="s">
        <v>731</v>
      </c>
      <c r="G96" t="s">
        <v>323</v>
      </c>
      <c r="H96" t="s">
        <v>741</v>
      </c>
      <c r="I96" t="s">
        <v>748</v>
      </c>
      <c r="J96" t="s">
        <v>748</v>
      </c>
      <c r="K96" t="s">
        <v>748</v>
      </c>
      <c r="L96" t="s">
        <v>748</v>
      </c>
      <c r="M96" t="s">
        <v>748</v>
      </c>
      <c r="N96" t="s">
        <v>748</v>
      </c>
      <c r="AG96">
        <v>9</v>
      </c>
      <c r="AH96">
        <v>11</v>
      </c>
      <c r="AI96">
        <v>30</v>
      </c>
      <c r="AJ96">
        <v>31</v>
      </c>
      <c r="AK96">
        <v>45</v>
      </c>
      <c r="AL96">
        <v>42</v>
      </c>
    </row>
    <row r="97" spans="1:42" ht="17" x14ac:dyDescent="0.2">
      <c r="A97" t="s">
        <v>83</v>
      </c>
      <c r="B97" t="str">
        <f t="shared" si="1"/>
        <v>#.##..#..</v>
      </c>
      <c r="C97" t="s">
        <v>626</v>
      </c>
      <c r="D97" s="1" t="s">
        <v>627</v>
      </c>
      <c r="E97" t="s">
        <v>547</v>
      </c>
      <c r="F97" t="s">
        <v>728</v>
      </c>
      <c r="G97" t="s">
        <v>394</v>
      </c>
      <c r="H97" t="s">
        <v>628</v>
      </c>
      <c r="I97" t="s">
        <v>583</v>
      </c>
      <c r="J97" t="s">
        <v>629</v>
      </c>
      <c r="K97" t="s">
        <v>748</v>
      </c>
      <c r="L97" t="s">
        <v>748</v>
      </c>
      <c r="M97" t="s">
        <v>748</v>
      </c>
      <c r="N97" t="s">
        <v>748</v>
      </c>
      <c r="AG97">
        <v>84</v>
      </c>
      <c r="AH97">
        <v>21</v>
      </c>
      <c r="AI97">
        <v>42</v>
      </c>
      <c r="AJ97">
        <v>87</v>
      </c>
      <c r="AK97">
        <v>40</v>
      </c>
      <c r="AL97">
        <v>50</v>
      </c>
      <c r="AM97">
        <v>45</v>
      </c>
      <c r="AN97">
        <v>31</v>
      </c>
      <c r="AO97">
        <v>31</v>
      </c>
    </row>
    <row r="98" spans="1:42" ht="17" x14ac:dyDescent="0.2">
      <c r="A98" t="s">
        <v>84</v>
      </c>
      <c r="B98" t="str">
        <f t="shared" si="1"/>
        <v>#.#.#..#</v>
      </c>
      <c r="C98" t="s">
        <v>630</v>
      </c>
      <c r="D98" s="1" t="s">
        <v>631</v>
      </c>
      <c r="E98" t="s">
        <v>728</v>
      </c>
      <c r="F98" t="s">
        <v>632</v>
      </c>
      <c r="G98" t="s">
        <v>409</v>
      </c>
      <c r="H98" t="s">
        <v>500</v>
      </c>
      <c r="I98" t="s">
        <v>559</v>
      </c>
      <c r="J98" t="s">
        <v>748</v>
      </c>
      <c r="K98" t="s">
        <v>748</v>
      </c>
      <c r="L98" t="s">
        <v>748</v>
      </c>
      <c r="M98" t="s">
        <v>748</v>
      </c>
      <c r="N98" t="s">
        <v>748</v>
      </c>
      <c r="AG98">
        <v>32</v>
      </c>
      <c r="AH98">
        <v>41</v>
      </c>
      <c r="AI98">
        <v>9</v>
      </c>
      <c r="AJ98">
        <v>16</v>
      </c>
      <c r="AK98">
        <v>32</v>
      </c>
      <c r="AL98">
        <v>10</v>
      </c>
      <c r="AM98">
        <v>15</v>
      </c>
      <c r="AN98">
        <v>21</v>
      </c>
    </row>
    <row r="99" spans="1:42" ht="17" x14ac:dyDescent="0.2">
      <c r="A99" t="s">
        <v>85</v>
      </c>
      <c r="B99" t="str">
        <f t="shared" si="1"/>
        <v>#.#.#.##.</v>
      </c>
      <c r="C99" t="s">
        <v>633</v>
      </c>
      <c r="D99" s="1" t="s">
        <v>634</v>
      </c>
      <c r="E99" t="s">
        <v>635</v>
      </c>
      <c r="F99" t="s">
        <v>384</v>
      </c>
      <c r="G99" t="s">
        <v>636</v>
      </c>
      <c r="H99" t="s">
        <v>744</v>
      </c>
      <c r="I99" t="s">
        <v>397</v>
      </c>
      <c r="J99" t="s">
        <v>557</v>
      </c>
      <c r="K99" t="s">
        <v>748</v>
      </c>
      <c r="L99" t="s">
        <v>748</v>
      </c>
      <c r="M99" t="s">
        <v>748</v>
      </c>
      <c r="N99" t="s">
        <v>748</v>
      </c>
      <c r="AG99">
        <v>28</v>
      </c>
      <c r="AH99">
        <v>42</v>
      </c>
      <c r="AI99">
        <v>49</v>
      </c>
      <c r="AJ99">
        <v>61</v>
      </c>
      <c r="AK99">
        <v>45</v>
      </c>
      <c r="AL99">
        <v>80</v>
      </c>
      <c r="AM99">
        <v>55</v>
      </c>
      <c r="AN99">
        <v>36</v>
      </c>
      <c r="AO99">
        <v>38</v>
      </c>
    </row>
    <row r="100" spans="1:42" ht="17" x14ac:dyDescent="0.2">
      <c r="A100" t="s">
        <v>86</v>
      </c>
      <c r="B100" t="str">
        <f t="shared" si="1"/>
        <v>##....##.</v>
      </c>
      <c r="C100" t="s">
        <v>549</v>
      </c>
      <c r="D100" s="1" t="s">
        <v>730</v>
      </c>
      <c r="E100" t="s">
        <v>395</v>
      </c>
      <c r="F100" t="s">
        <v>637</v>
      </c>
      <c r="G100" t="s">
        <v>638</v>
      </c>
      <c r="H100" t="s">
        <v>639</v>
      </c>
      <c r="I100" t="s">
        <v>447</v>
      </c>
      <c r="J100" t="s">
        <v>640</v>
      </c>
      <c r="K100" t="s">
        <v>468</v>
      </c>
      <c r="L100" t="s">
        <v>641</v>
      </c>
      <c r="M100" t="s">
        <v>748</v>
      </c>
      <c r="N100" t="s">
        <v>748</v>
      </c>
      <c r="AG100">
        <v>42</v>
      </c>
      <c r="AH100">
        <v>45</v>
      </c>
      <c r="AI100">
        <v>53</v>
      </c>
      <c r="AJ100">
        <v>210</v>
      </c>
      <c r="AK100">
        <v>25</v>
      </c>
      <c r="AL100">
        <v>42</v>
      </c>
      <c r="AM100">
        <v>71</v>
      </c>
      <c r="AN100">
        <v>43</v>
      </c>
      <c r="AO100">
        <v>47</v>
      </c>
    </row>
    <row r="101" spans="1:42" ht="17" x14ac:dyDescent="0.2">
      <c r="A101" t="s">
        <v>87</v>
      </c>
      <c r="B101" t="str">
        <f t="shared" si="1"/>
        <v>.###</v>
      </c>
      <c r="C101" t="s">
        <v>394</v>
      </c>
      <c r="D101" s="1" t="s">
        <v>733</v>
      </c>
      <c r="E101" t="s">
        <v>402</v>
      </c>
      <c r="F101" t="s">
        <v>748</v>
      </c>
      <c r="G101" t="s">
        <v>748</v>
      </c>
      <c r="H101" t="s">
        <v>748</v>
      </c>
      <c r="I101" t="s">
        <v>748</v>
      </c>
      <c r="J101" t="s">
        <v>748</v>
      </c>
      <c r="K101" t="s">
        <v>748</v>
      </c>
      <c r="L101" t="s">
        <v>748</v>
      </c>
      <c r="M101" t="s">
        <v>748</v>
      </c>
      <c r="N101" t="s">
        <v>748</v>
      </c>
      <c r="AG101">
        <v>14</v>
      </c>
      <c r="AH101">
        <v>19</v>
      </c>
      <c r="AI101">
        <v>5</v>
      </c>
      <c r="AJ101">
        <v>6</v>
      </c>
    </row>
    <row r="102" spans="1:42" ht="17" x14ac:dyDescent="0.2">
      <c r="A102" t="s">
        <v>88</v>
      </c>
      <c r="B102" t="str">
        <f t="shared" si="1"/>
        <v>##.#####</v>
      </c>
      <c r="C102" t="s">
        <v>397</v>
      </c>
      <c r="D102" s="1" t="s">
        <v>642</v>
      </c>
      <c r="E102" t="s">
        <v>581</v>
      </c>
      <c r="F102" t="s">
        <v>643</v>
      </c>
      <c r="G102" t="s">
        <v>644</v>
      </c>
      <c r="H102" t="s">
        <v>593</v>
      </c>
      <c r="I102" t="s">
        <v>430</v>
      </c>
      <c r="J102" t="s">
        <v>351</v>
      </c>
      <c r="K102" t="s">
        <v>748</v>
      </c>
      <c r="L102" t="s">
        <v>748</v>
      </c>
      <c r="M102" t="s">
        <v>748</v>
      </c>
      <c r="N102" t="s">
        <v>748</v>
      </c>
      <c r="AG102">
        <v>33</v>
      </c>
      <c r="AH102">
        <v>69</v>
      </c>
      <c r="AI102">
        <v>99</v>
      </c>
      <c r="AJ102">
        <v>89</v>
      </c>
      <c r="AK102">
        <v>29</v>
      </c>
      <c r="AL102">
        <v>62</v>
      </c>
      <c r="AM102">
        <v>45</v>
      </c>
      <c r="AN102">
        <v>95</v>
      </c>
    </row>
    <row r="103" spans="1:42" ht="17" x14ac:dyDescent="0.2">
      <c r="A103" t="s">
        <v>89</v>
      </c>
      <c r="B103" t="str">
        <f t="shared" si="1"/>
        <v>.#.###</v>
      </c>
      <c r="C103" t="s">
        <v>731</v>
      </c>
      <c r="D103" s="1" t="s">
        <v>434</v>
      </c>
      <c r="E103" t="s">
        <v>645</v>
      </c>
      <c r="F103" t="s">
        <v>496</v>
      </c>
      <c r="G103" t="s">
        <v>748</v>
      </c>
      <c r="H103" t="s">
        <v>748</v>
      </c>
      <c r="I103" t="s">
        <v>748</v>
      </c>
      <c r="J103" t="s">
        <v>748</v>
      </c>
      <c r="K103" t="s">
        <v>748</v>
      </c>
      <c r="L103" t="s">
        <v>748</v>
      </c>
      <c r="M103" t="s">
        <v>748</v>
      </c>
      <c r="N103" t="s">
        <v>748</v>
      </c>
      <c r="AG103">
        <v>4</v>
      </c>
      <c r="AH103">
        <v>19</v>
      </c>
      <c r="AI103">
        <v>34</v>
      </c>
      <c r="AJ103">
        <v>33</v>
      </c>
      <c r="AK103">
        <v>19</v>
      </c>
      <c r="AL103">
        <v>19</v>
      </c>
    </row>
    <row r="104" spans="1:42" ht="17" x14ac:dyDescent="0.2">
      <c r="A104" t="s">
        <v>90</v>
      </c>
      <c r="B104" t="str">
        <f t="shared" si="1"/>
        <v>#....</v>
      </c>
      <c r="C104" t="s">
        <v>402</v>
      </c>
      <c r="D104" s="1" t="s">
        <v>520</v>
      </c>
      <c r="E104" t="s">
        <v>730</v>
      </c>
      <c r="F104" t="s">
        <v>741</v>
      </c>
      <c r="G104" t="s">
        <v>748</v>
      </c>
      <c r="H104" t="s">
        <v>748</v>
      </c>
      <c r="I104" t="s">
        <v>748</v>
      </c>
      <c r="J104" t="s">
        <v>748</v>
      </c>
      <c r="K104" t="s">
        <v>748</v>
      </c>
      <c r="L104" t="s">
        <v>748</v>
      </c>
      <c r="M104" t="s">
        <v>748</v>
      </c>
      <c r="N104" t="s">
        <v>748</v>
      </c>
      <c r="AG104">
        <v>28</v>
      </c>
      <c r="AH104">
        <v>30</v>
      </c>
      <c r="AI104">
        <v>30</v>
      </c>
      <c r="AJ104">
        <v>43</v>
      </c>
      <c r="AK104">
        <v>17</v>
      </c>
    </row>
    <row r="105" spans="1:42" ht="17" x14ac:dyDescent="0.2">
      <c r="A105" t="s">
        <v>91</v>
      </c>
      <c r="B105" t="str">
        <f t="shared" si="1"/>
        <v>..###</v>
      </c>
      <c r="C105" t="s">
        <v>520</v>
      </c>
      <c r="D105" s="1" t="s">
        <v>383</v>
      </c>
      <c r="E105" t="s">
        <v>526</v>
      </c>
      <c r="F105" t="s">
        <v>748</v>
      </c>
      <c r="G105" t="s">
        <v>748</v>
      </c>
      <c r="H105" t="s">
        <v>748</v>
      </c>
      <c r="I105" t="s">
        <v>748</v>
      </c>
      <c r="J105" t="s">
        <v>748</v>
      </c>
      <c r="K105" t="s">
        <v>748</v>
      </c>
      <c r="L105" t="s">
        <v>748</v>
      </c>
      <c r="M105" t="s">
        <v>748</v>
      </c>
      <c r="N105" t="s">
        <v>748</v>
      </c>
      <c r="AG105">
        <v>18</v>
      </c>
      <c r="AH105">
        <v>9</v>
      </c>
      <c r="AI105">
        <v>9</v>
      </c>
      <c r="AJ105">
        <v>0</v>
      </c>
      <c r="AK105">
        <v>18</v>
      </c>
    </row>
    <row r="106" spans="1:42" ht="17" x14ac:dyDescent="0.2">
      <c r="A106" t="s">
        <v>92</v>
      </c>
      <c r="B106" t="str">
        <f t="shared" si="1"/>
        <v>##.###</v>
      </c>
      <c r="C106" t="s">
        <v>317</v>
      </c>
      <c r="D106" s="1" t="s">
        <v>383</v>
      </c>
      <c r="E106" t="s">
        <v>558</v>
      </c>
      <c r="F106" t="s">
        <v>728</v>
      </c>
      <c r="G106" t="s">
        <v>482</v>
      </c>
      <c r="H106" t="s">
        <v>731</v>
      </c>
      <c r="I106" t="s">
        <v>518</v>
      </c>
      <c r="J106" t="s">
        <v>748</v>
      </c>
      <c r="K106" t="s">
        <v>748</v>
      </c>
      <c r="L106" t="s">
        <v>748</v>
      </c>
      <c r="M106" t="s">
        <v>748</v>
      </c>
      <c r="N106" t="s">
        <v>748</v>
      </c>
      <c r="AG106">
        <v>27</v>
      </c>
      <c r="AH106">
        <v>41</v>
      </c>
      <c r="AI106">
        <v>43</v>
      </c>
      <c r="AJ106">
        <v>55</v>
      </c>
      <c r="AK106">
        <v>25</v>
      </c>
      <c r="AL106">
        <v>23</v>
      </c>
    </row>
    <row r="107" spans="1:42" ht="17" x14ac:dyDescent="0.2">
      <c r="A107" t="s">
        <v>93</v>
      </c>
      <c r="B107" t="str">
        <f t="shared" si="1"/>
        <v>....###.##</v>
      </c>
      <c r="C107" t="s">
        <v>646</v>
      </c>
      <c r="D107" s="1" t="s">
        <v>578</v>
      </c>
      <c r="E107" t="s">
        <v>647</v>
      </c>
      <c r="F107" t="s">
        <v>648</v>
      </c>
      <c r="G107" t="s">
        <v>649</v>
      </c>
      <c r="H107" t="s">
        <v>650</v>
      </c>
      <c r="I107" t="s">
        <v>651</v>
      </c>
      <c r="J107" t="s">
        <v>742</v>
      </c>
      <c r="K107" t="s">
        <v>748</v>
      </c>
      <c r="L107" t="s">
        <v>748</v>
      </c>
      <c r="M107" t="s">
        <v>748</v>
      </c>
      <c r="N107" t="s">
        <v>748</v>
      </c>
      <c r="AG107">
        <v>114</v>
      </c>
      <c r="AH107">
        <v>34</v>
      </c>
      <c r="AI107">
        <v>129</v>
      </c>
      <c r="AJ107">
        <v>13</v>
      </c>
      <c r="AK107">
        <v>48</v>
      </c>
      <c r="AL107">
        <v>16</v>
      </c>
      <c r="AM107">
        <v>24</v>
      </c>
      <c r="AN107">
        <v>27</v>
      </c>
      <c r="AO107">
        <v>116</v>
      </c>
      <c r="AP107">
        <v>34</v>
      </c>
    </row>
    <row r="108" spans="1:42" ht="17" x14ac:dyDescent="0.2">
      <c r="A108" t="s">
        <v>94</v>
      </c>
      <c r="B108" t="str">
        <f t="shared" si="1"/>
        <v>##.#</v>
      </c>
      <c r="C108" t="s">
        <v>732</v>
      </c>
      <c r="D108" s="1" t="s">
        <v>733</v>
      </c>
      <c r="E108" t="s">
        <v>724</v>
      </c>
      <c r="F108" t="s">
        <v>731</v>
      </c>
      <c r="G108" t="s">
        <v>729</v>
      </c>
      <c r="H108" t="s">
        <v>748</v>
      </c>
      <c r="I108" t="s">
        <v>748</v>
      </c>
      <c r="J108" t="s">
        <v>748</v>
      </c>
      <c r="K108" t="s">
        <v>748</v>
      </c>
      <c r="L108" t="s">
        <v>748</v>
      </c>
      <c r="M108" t="s">
        <v>748</v>
      </c>
      <c r="N108" t="s">
        <v>748</v>
      </c>
      <c r="AG108">
        <v>15</v>
      </c>
      <c r="AH108">
        <v>3</v>
      </c>
      <c r="AI108">
        <v>21</v>
      </c>
      <c r="AJ108">
        <v>12</v>
      </c>
    </row>
    <row r="109" spans="1:42" ht="17" x14ac:dyDescent="0.2">
      <c r="A109" t="s">
        <v>95</v>
      </c>
      <c r="B109" t="str">
        <f t="shared" si="1"/>
        <v>.###</v>
      </c>
      <c r="C109" t="s">
        <v>725</v>
      </c>
      <c r="D109" s="1" t="s">
        <v>402</v>
      </c>
      <c r="E109" t="s">
        <v>748</v>
      </c>
      <c r="F109" t="s">
        <v>748</v>
      </c>
      <c r="G109" t="s">
        <v>748</v>
      </c>
      <c r="H109" t="s">
        <v>748</v>
      </c>
      <c r="I109" t="s">
        <v>748</v>
      </c>
      <c r="J109" t="s">
        <v>748</v>
      </c>
      <c r="K109" t="s">
        <v>748</v>
      </c>
      <c r="L109" t="s">
        <v>748</v>
      </c>
      <c r="M109" t="s">
        <v>748</v>
      </c>
      <c r="N109" t="s">
        <v>748</v>
      </c>
      <c r="AG109">
        <v>19</v>
      </c>
      <c r="AH109">
        <v>8</v>
      </c>
      <c r="AI109">
        <v>27</v>
      </c>
      <c r="AJ109">
        <v>8</v>
      </c>
    </row>
    <row r="110" spans="1:42" ht="17" x14ac:dyDescent="0.2">
      <c r="A110" t="s">
        <v>96</v>
      </c>
      <c r="B110" t="str">
        <f t="shared" si="1"/>
        <v>.####.##</v>
      </c>
      <c r="C110" t="s">
        <v>458</v>
      </c>
      <c r="D110" s="1" t="s">
        <v>744</v>
      </c>
      <c r="E110" t="s">
        <v>652</v>
      </c>
      <c r="F110" t="s">
        <v>324</v>
      </c>
      <c r="G110" t="s">
        <v>353</v>
      </c>
      <c r="H110" t="s">
        <v>724</v>
      </c>
      <c r="I110" t="s">
        <v>527</v>
      </c>
      <c r="J110" t="s">
        <v>624</v>
      </c>
      <c r="K110" t="s">
        <v>461</v>
      </c>
      <c r="L110" t="s">
        <v>748</v>
      </c>
      <c r="M110" t="s">
        <v>748</v>
      </c>
      <c r="N110" t="s">
        <v>748</v>
      </c>
      <c r="AG110">
        <v>63</v>
      </c>
      <c r="AH110">
        <v>57</v>
      </c>
      <c r="AI110">
        <v>54</v>
      </c>
      <c r="AJ110">
        <v>36</v>
      </c>
      <c r="AK110">
        <v>68</v>
      </c>
      <c r="AL110">
        <v>34</v>
      </c>
      <c r="AM110">
        <v>60</v>
      </c>
      <c r="AN110">
        <v>32</v>
      </c>
    </row>
    <row r="111" spans="1:42" ht="17" x14ac:dyDescent="0.2">
      <c r="A111" t="s">
        <v>97</v>
      </c>
      <c r="B111" t="str">
        <f t="shared" si="1"/>
        <v>##..#</v>
      </c>
      <c r="C111" t="s">
        <v>402</v>
      </c>
      <c r="D111" s="1" t="s">
        <v>729</v>
      </c>
      <c r="E111" t="s">
        <v>526</v>
      </c>
      <c r="F111" t="s">
        <v>748</v>
      </c>
      <c r="G111" t="s">
        <v>748</v>
      </c>
      <c r="H111" t="s">
        <v>748</v>
      </c>
      <c r="I111" t="s">
        <v>748</v>
      </c>
      <c r="J111" t="s">
        <v>748</v>
      </c>
      <c r="K111" t="s">
        <v>748</v>
      </c>
      <c r="L111" t="s">
        <v>748</v>
      </c>
      <c r="M111" t="s">
        <v>748</v>
      </c>
      <c r="N111" t="s">
        <v>748</v>
      </c>
      <c r="AG111">
        <v>18</v>
      </c>
      <c r="AH111">
        <v>27</v>
      </c>
      <c r="AI111">
        <v>11</v>
      </c>
      <c r="AJ111">
        <v>13</v>
      </c>
      <c r="AK111">
        <v>16</v>
      </c>
    </row>
    <row r="112" spans="1:42" ht="17" x14ac:dyDescent="0.2">
      <c r="A112" t="s">
        <v>98</v>
      </c>
      <c r="B112" t="str">
        <f t="shared" si="1"/>
        <v>####.#..##</v>
      </c>
      <c r="C112" t="s">
        <v>430</v>
      </c>
      <c r="D112" s="1" t="s">
        <v>653</v>
      </c>
      <c r="E112" t="s">
        <v>731</v>
      </c>
      <c r="F112" t="s">
        <v>739</v>
      </c>
      <c r="G112" t="s">
        <v>654</v>
      </c>
      <c r="H112" t="s">
        <v>655</v>
      </c>
      <c r="I112" t="s">
        <v>395</v>
      </c>
      <c r="J112" t="s">
        <v>534</v>
      </c>
      <c r="K112" t="s">
        <v>385</v>
      </c>
      <c r="L112" t="s">
        <v>767</v>
      </c>
      <c r="M112" t="s">
        <v>748</v>
      </c>
      <c r="N112" t="s">
        <v>748</v>
      </c>
      <c r="AG112">
        <v>22</v>
      </c>
      <c r="AH112">
        <v>54</v>
      </c>
      <c r="AI112">
        <v>37</v>
      </c>
      <c r="AJ112">
        <v>11</v>
      </c>
      <c r="AK112">
        <v>33</v>
      </c>
      <c r="AL112">
        <v>24</v>
      </c>
      <c r="AM112">
        <v>59</v>
      </c>
      <c r="AN112">
        <v>5</v>
      </c>
      <c r="AO112">
        <v>46</v>
      </c>
      <c r="AP112">
        <v>34</v>
      </c>
    </row>
    <row r="113" spans="1:42" ht="17" x14ac:dyDescent="0.2">
      <c r="A113" t="s">
        <v>99</v>
      </c>
      <c r="B113" t="str">
        <f t="shared" si="1"/>
        <v>#.#...#.</v>
      </c>
      <c r="C113" t="s">
        <v>458</v>
      </c>
      <c r="D113" s="1" t="s">
        <v>720</v>
      </c>
      <c r="E113" t="s">
        <v>530</v>
      </c>
      <c r="F113" t="s">
        <v>755</v>
      </c>
      <c r="G113" t="s">
        <v>322</v>
      </c>
      <c r="H113" t="s">
        <v>737</v>
      </c>
      <c r="I113" t="s">
        <v>656</v>
      </c>
      <c r="J113" t="s">
        <v>657</v>
      </c>
      <c r="K113" t="s">
        <v>658</v>
      </c>
      <c r="L113" t="s">
        <v>748</v>
      </c>
      <c r="M113" t="s">
        <v>748</v>
      </c>
      <c r="N113" t="s">
        <v>748</v>
      </c>
      <c r="AG113">
        <v>53</v>
      </c>
      <c r="AH113">
        <v>35</v>
      </c>
      <c r="AI113">
        <v>55</v>
      </c>
      <c r="AJ113">
        <v>20</v>
      </c>
      <c r="AK113">
        <v>52</v>
      </c>
      <c r="AL113">
        <v>38</v>
      </c>
      <c r="AM113">
        <v>31</v>
      </c>
      <c r="AN113">
        <v>30</v>
      </c>
    </row>
    <row r="114" spans="1:42" ht="17" x14ac:dyDescent="0.2">
      <c r="A114" t="s">
        <v>100</v>
      </c>
      <c r="B114" t="str">
        <f t="shared" si="1"/>
        <v>##.###</v>
      </c>
      <c r="C114" t="s">
        <v>557</v>
      </c>
      <c r="D114" s="1" t="s">
        <v>520</v>
      </c>
      <c r="E114" t="s">
        <v>739</v>
      </c>
      <c r="F114" t="s">
        <v>449</v>
      </c>
      <c r="G114" t="s">
        <v>656</v>
      </c>
      <c r="H114" t="s">
        <v>748</v>
      </c>
      <c r="I114" t="s">
        <v>748</v>
      </c>
      <c r="J114" t="s">
        <v>748</v>
      </c>
      <c r="K114" t="s">
        <v>748</v>
      </c>
      <c r="L114" t="s">
        <v>748</v>
      </c>
      <c r="M114" t="s">
        <v>748</v>
      </c>
      <c r="N114" t="s">
        <v>748</v>
      </c>
      <c r="AG114">
        <v>56</v>
      </c>
      <c r="AH114">
        <v>35</v>
      </c>
      <c r="AI114">
        <v>41</v>
      </c>
      <c r="AJ114">
        <v>53</v>
      </c>
      <c r="AK114">
        <v>35</v>
      </c>
      <c r="AL114">
        <v>15</v>
      </c>
    </row>
    <row r="115" spans="1:42" ht="17" x14ac:dyDescent="0.2">
      <c r="A115" t="s">
        <v>101</v>
      </c>
      <c r="B115" t="str">
        <f t="shared" si="1"/>
        <v>#######</v>
      </c>
      <c r="C115" t="s">
        <v>322</v>
      </c>
      <c r="D115" s="1" t="s">
        <v>729</v>
      </c>
      <c r="E115" t="s">
        <v>750</v>
      </c>
      <c r="F115" t="s">
        <v>741</v>
      </c>
      <c r="G115" t="s">
        <v>409</v>
      </c>
      <c r="H115" t="s">
        <v>428</v>
      </c>
      <c r="I115" t="s">
        <v>722</v>
      </c>
      <c r="J115" t="s">
        <v>433</v>
      </c>
      <c r="K115" t="s">
        <v>748</v>
      </c>
      <c r="L115" t="s">
        <v>748</v>
      </c>
      <c r="M115" t="s">
        <v>748</v>
      </c>
      <c r="N115" t="s">
        <v>748</v>
      </c>
      <c r="AG115">
        <v>44</v>
      </c>
      <c r="AH115">
        <v>46</v>
      </c>
      <c r="AI115">
        <v>55</v>
      </c>
      <c r="AJ115">
        <v>29</v>
      </c>
      <c r="AK115">
        <v>33</v>
      </c>
      <c r="AL115">
        <v>13</v>
      </c>
      <c r="AM115">
        <v>19</v>
      </c>
    </row>
    <row r="116" spans="1:42" ht="17" x14ac:dyDescent="0.2">
      <c r="A116" t="s">
        <v>102</v>
      </c>
      <c r="B116" t="str">
        <f t="shared" si="1"/>
        <v>.#.##..</v>
      </c>
      <c r="C116" t="s">
        <v>563</v>
      </c>
      <c r="D116" s="1" t="s">
        <v>555</v>
      </c>
      <c r="E116" t="s">
        <v>731</v>
      </c>
      <c r="F116" t="s">
        <v>624</v>
      </c>
      <c r="G116" t="s">
        <v>500</v>
      </c>
      <c r="H116" t="s">
        <v>402</v>
      </c>
      <c r="I116" t="s">
        <v>747</v>
      </c>
      <c r="J116" t="s">
        <v>382</v>
      </c>
      <c r="K116" t="s">
        <v>748</v>
      </c>
      <c r="L116" t="s">
        <v>748</v>
      </c>
      <c r="M116" t="s">
        <v>748</v>
      </c>
      <c r="N116" t="s">
        <v>748</v>
      </c>
      <c r="AG116">
        <v>22</v>
      </c>
      <c r="AH116">
        <v>58</v>
      </c>
      <c r="AI116">
        <v>66</v>
      </c>
      <c r="AJ116">
        <v>46</v>
      </c>
      <c r="AK116">
        <v>18</v>
      </c>
      <c r="AL116">
        <v>64</v>
      </c>
      <c r="AM116">
        <v>35</v>
      </c>
    </row>
    <row r="117" spans="1:42" ht="17" x14ac:dyDescent="0.2">
      <c r="A117" t="s">
        <v>149</v>
      </c>
      <c r="B117" t="str">
        <f t="shared" si="1"/>
        <v>#..#...#.#</v>
      </c>
      <c r="C117" t="s">
        <v>659</v>
      </c>
      <c r="D117" s="1" t="s">
        <v>525</v>
      </c>
      <c r="E117" t="s">
        <v>352</v>
      </c>
      <c r="F117" t="s">
        <v>341</v>
      </c>
      <c r="G117" t="s">
        <v>660</v>
      </c>
      <c r="H117" t="s">
        <v>646</v>
      </c>
      <c r="I117" t="s">
        <v>661</v>
      </c>
      <c r="J117" t="s">
        <v>662</v>
      </c>
      <c r="K117" t="s">
        <v>559</v>
      </c>
      <c r="L117" t="s">
        <v>663</v>
      </c>
      <c r="M117" t="s">
        <v>664</v>
      </c>
      <c r="N117" t="s">
        <v>665</v>
      </c>
      <c r="AG117">
        <v>96</v>
      </c>
      <c r="AH117">
        <v>97</v>
      </c>
      <c r="AI117">
        <v>36</v>
      </c>
      <c r="AJ117" t="s">
        <v>842</v>
      </c>
      <c r="AK117">
        <v>81</v>
      </c>
      <c r="AL117">
        <v>95</v>
      </c>
      <c r="AM117">
        <v>141</v>
      </c>
      <c r="AN117">
        <v>84</v>
      </c>
      <c r="AO117">
        <v>99</v>
      </c>
      <c r="AP117">
        <v>62</v>
      </c>
    </row>
    <row r="118" spans="1:42" ht="17" x14ac:dyDescent="0.2">
      <c r="A118" t="s">
        <v>103</v>
      </c>
      <c r="B118" t="str">
        <f t="shared" si="1"/>
        <v>..##..</v>
      </c>
      <c r="C118" t="s">
        <v>645</v>
      </c>
      <c r="D118" s="1" t="s">
        <v>731</v>
      </c>
      <c r="E118" t="s">
        <v>383</v>
      </c>
      <c r="F118" t="s">
        <v>419</v>
      </c>
      <c r="G118" t="s">
        <v>748</v>
      </c>
      <c r="H118" t="s">
        <v>748</v>
      </c>
      <c r="I118" t="s">
        <v>748</v>
      </c>
      <c r="J118" t="s">
        <v>748</v>
      </c>
      <c r="K118" t="s">
        <v>748</v>
      </c>
      <c r="L118" t="s">
        <v>748</v>
      </c>
      <c r="M118" t="s">
        <v>748</v>
      </c>
      <c r="N118" t="s">
        <v>748</v>
      </c>
      <c r="AG118">
        <v>18</v>
      </c>
      <c r="AH118">
        <v>14</v>
      </c>
      <c r="AI118">
        <v>44</v>
      </c>
      <c r="AJ118">
        <v>15</v>
      </c>
      <c r="AK118">
        <v>18</v>
      </c>
      <c r="AL118">
        <v>14</v>
      </c>
    </row>
    <row r="119" spans="1:42" ht="17" x14ac:dyDescent="0.2">
      <c r="A119" t="s">
        <v>104</v>
      </c>
      <c r="B119" t="str">
        <f t="shared" si="1"/>
        <v>.#.#..</v>
      </c>
      <c r="C119" t="s">
        <v>645</v>
      </c>
      <c r="D119" s="1" t="s">
        <v>365</v>
      </c>
      <c r="E119" t="s">
        <v>749</v>
      </c>
      <c r="F119" t="s">
        <v>738</v>
      </c>
      <c r="G119" t="s">
        <v>319</v>
      </c>
      <c r="H119" t="s">
        <v>729</v>
      </c>
      <c r="I119" t="s">
        <v>748</v>
      </c>
      <c r="J119" t="s">
        <v>748</v>
      </c>
      <c r="K119" t="s">
        <v>748</v>
      </c>
      <c r="L119" t="s">
        <v>748</v>
      </c>
      <c r="M119" t="s">
        <v>748</v>
      </c>
      <c r="N119" t="s">
        <v>748</v>
      </c>
      <c r="AG119">
        <v>199</v>
      </c>
      <c r="AH119">
        <v>197</v>
      </c>
      <c r="AI119">
        <v>217</v>
      </c>
      <c r="AJ119">
        <v>12</v>
      </c>
      <c r="AK119">
        <v>206</v>
      </c>
      <c r="AL119">
        <v>227</v>
      </c>
    </row>
    <row r="120" spans="1:42" ht="17" x14ac:dyDescent="0.2">
      <c r="A120" t="s">
        <v>105</v>
      </c>
      <c r="B120" t="str">
        <f t="shared" si="1"/>
        <v>..#..#</v>
      </c>
      <c r="C120" t="s">
        <v>561</v>
      </c>
      <c r="D120" s="1" t="s">
        <v>496</v>
      </c>
      <c r="E120" t="s">
        <v>721</v>
      </c>
      <c r="F120" t="s">
        <v>526</v>
      </c>
      <c r="G120" t="s">
        <v>748</v>
      </c>
      <c r="H120" t="s">
        <v>748</v>
      </c>
      <c r="I120" t="s">
        <v>748</v>
      </c>
      <c r="J120" t="s">
        <v>748</v>
      </c>
      <c r="K120" t="s">
        <v>748</v>
      </c>
      <c r="L120" t="s">
        <v>748</v>
      </c>
      <c r="M120" t="s">
        <v>748</v>
      </c>
      <c r="N120" t="s">
        <v>748</v>
      </c>
      <c r="AG120">
        <v>18</v>
      </c>
      <c r="AH120">
        <v>43</v>
      </c>
      <c r="AI120">
        <v>20</v>
      </c>
      <c r="AJ120">
        <v>25</v>
      </c>
      <c r="AK120">
        <v>29</v>
      </c>
      <c r="AL120">
        <v>20</v>
      </c>
    </row>
    <row r="121" spans="1:42" ht="17" x14ac:dyDescent="0.2">
      <c r="A121" t="s">
        <v>106</v>
      </c>
      <c r="B121" t="str">
        <f t="shared" si="1"/>
        <v>#####</v>
      </c>
      <c r="C121" t="s">
        <v>409</v>
      </c>
      <c r="D121" s="1" t="s">
        <v>394</v>
      </c>
      <c r="E121" t="s">
        <v>449</v>
      </c>
      <c r="F121" t="s">
        <v>733</v>
      </c>
      <c r="G121" t="s">
        <v>748</v>
      </c>
      <c r="H121" t="s">
        <v>748</v>
      </c>
      <c r="I121" t="s">
        <v>748</v>
      </c>
      <c r="J121" t="s">
        <v>748</v>
      </c>
      <c r="K121" t="s">
        <v>748</v>
      </c>
      <c r="L121" t="s">
        <v>748</v>
      </c>
      <c r="M121" t="s">
        <v>748</v>
      </c>
      <c r="N121" t="s">
        <v>748</v>
      </c>
      <c r="AG121">
        <v>33</v>
      </c>
      <c r="AH121">
        <v>42</v>
      </c>
      <c r="AI121">
        <v>29</v>
      </c>
      <c r="AJ121">
        <v>11</v>
      </c>
      <c r="AK121">
        <v>29</v>
      </c>
    </row>
    <row r="122" spans="1:42" ht="17" x14ac:dyDescent="0.2">
      <c r="A122" t="s">
        <v>107</v>
      </c>
      <c r="B122" t="str">
        <f t="shared" si="1"/>
        <v>####.</v>
      </c>
      <c r="C122" t="s">
        <v>408</v>
      </c>
      <c r="D122" s="1" t="s">
        <v>482</v>
      </c>
      <c r="E122" t="s">
        <v>520</v>
      </c>
      <c r="F122" t="s">
        <v>748</v>
      </c>
      <c r="G122" t="s">
        <v>748</v>
      </c>
      <c r="H122" t="s">
        <v>748</v>
      </c>
      <c r="I122" t="s">
        <v>748</v>
      </c>
      <c r="J122" t="s">
        <v>748</v>
      </c>
      <c r="K122" t="s">
        <v>748</v>
      </c>
      <c r="L122" t="s">
        <v>748</v>
      </c>
      <c r="M122" t="s">
        <v>748</v>
      </c>
      <c r="N122" t="s">
        <v>748</v>
      </c>
      <c r="AG122">
        <v>19</v>
      </c>
      <c r="AH122">
        <v>30</v>
      </c>
      <c r="AI122">
        <v>16</v>
      </c>
      <c r="AJ122">
        <v>33</v>
      </c>
      <c r="AK122">
        <v>17</v>
      </c>
    </row>
    <row r="123" spans="1:42" ht="17" x14ac:dyDescent="0.2">
      <c r="A123" t="s">
        <v>108</v>
      </c>
      <c r="B123" t="str">
        <f t="shared" si="1"/>
        <v>##.#.#</v>
      </c>
      <c r="C123" t="s">
        <v>557</v>
      </c>
      <c r="D123" s="1" t="s">
        <v>607</v>
      </c>
      <c r="E123" t="s">
        <v>360</v>
      </c>
      <c r="F123" t="s">
        <v>526</v>
      </c>
      <c r="G123" t="s">
        <v>748</v>
      </c>
      <c r="H123" t="s">
        <v>748</v>
      </c>
      <c r="I123" t="s">
        <v>748</v>
      </c>
      <c r="J123" t="s">
        <v>748</v>
      </c>
      <c r="K123" t="s">
        <v>748</v>
      </c>
      <c r="L123" t="s">
        <v>748</v>
      </c>
      <c r="M123" t="s">
        <v>748</v>
      </c>
      <c r="N123" t="s">
        <v>748</v>
      </c>
      <c r="AG123">
        <v>66</v>
      </c>
      <c r="AH123">
        <v>47</v>
      </c>
      <c r="AI123">
        <v>19</v>
      </c>
      <c r="AJ123">
        <v>38</v>
      </c>
      <c r="AK123">
        <v>47</v>
      </c>
      <c r="AL123">
        <v>33</v>
      </c>
    </row>
    <row r="124" spans="1:42" ht="17" x14ac:dyDescent="0.2">
      <c r="A124" t="s">
        <v>109</v>
      </c>
      <c r="B124" t="str">
        <f t="shared" si="1"/>
        <v>#.#.</v>
      </c>
      <c r="C124" t="s">
        <v>733</v>
      </c>
      <c r="D124" s="1" t="s">
        <v>394</v>
      </c>
      <c r="E124" t="s">
        <v>725</v>
      </c>
      <c r="F124" t="s">
        <v>721</v>
      </c>
      <c r="G124" t="s">
        <v>748</v>
      </c>
      <c r="H124" t="s">
        <v>748</v>
      </c>
      <c r="I124" t="s">
        <v>748</v>
      </c>
      <c r="J124" t="s">
        <v>748</v>
      </c>
      <c r="K124" t="s">
        <v>748</v>
      </c>
      <c r="L124" t="s">
        <v>748</v>
      </c>
      <c r="M124" t="s">
        <v>748</v>
      </c>
      <c r="N124" t="s">
        <v>748</v>
      </c>
      <c r="AG124">
        <v>32</v>
      </c>
      <c r="AH124">
        <v>27</v>
      </c>
      <c r="AI124">
        <v>7</v>
      </c>
      <c r="AJ124">
        <v>14</v>
      </c>
    </row>
    <row r="125" spans="1:42" ht="17" x14ac:dyDescent="0.2">
      <c r="A125" t="s">
        <v>110</v>
      </c>
      <c r="B125" t="str">
        <f t="shared" si="1"/>
        <v>.##..#</v>
      </c>
      <c r="C125" t="s">
        <v>724</v>
      </c>
      <c r="D125" s="1" t="s">
        <v>739</v>
      </c>
      <c r="E125" t="s">
        <v>360</v>
      </c>
      <c r="F125" t="s">
        <v>729</v>
      </c>
      <c r="G125" t="s">
        <v>731</v>
      </c>
      <c r="H125" t="s">
        <v>359</v>
      </c>
      <c r="I125" t="s">
        <v>432</v>
      </c>
      <c r="J125" t="s">
        <v>722</v>
      </c>
      <c r="K125" t="s">
        <v>748</v>
      </c>
      <c r="L125" t="s">
        <v>748</v>
      </c>
      <c r="M125" t="s">
        <v>748</v>
      </c>
      <c r="N125" t="s">
        <v>748</v>
      </c>
      <c r="AG125">
        <v>43</v>
      </c>
      <c r="AH125">
        <v>43</v>
      </c>
      <c r="AI125">
        <v>40</v>
      </c>
      <c r="AJ125">
        <v>25</v>
      </c>
      <c r="AK125">
        <v>41</v>
      </c>
      <c r="AL125">
        <v>33</v>
      </c>
    </row>
    <row r="126" spans="1:42" ht="17" x14ac:dyDescent="0.2">
      <c r="A126" t="s">
        <v>111</v>
      </c>
      <c r="B126" t="str">
        <f t="shared" si="1"/>
        <v>#..##.##</v>
      </c>
      <c r="C126" t="s">
        <v>728</v>
      </c>
      <c r="D126" s="1" t="s">
        <v>656</v>
      </c>
      <c r="E126" t="s">
        <v>317</v>
      </c>
      <c r="F126" t="s">
        <v>581</v>
      </c>
      <c r="G126" t="s">
        <v>723</v>
      </c>
      <c r="H126" t="s">
        <v>321</v>
      </c>
      <c r="I126" t="s">
        <v>364</v>
      </c>
      <c r="J126" t="s">
        <v>753</v>
      </c>
      <c r="K126" t="s">
        <v>625</v>
      </c>
      <c r="L126" t="s">
        <v>726</v>
      </c>
      <c r="M126" t="s">
        <v>748</v>
      </c>
      <c r="N126" t="s">
        <v>748</v>
      </c>
      <c r="AG126">
        <v>63</v>
      </c>
      <c r="AH126">
        <v>42</v>
      </c>
      <c r="AI126">
        <v>38</v>
      </c>
      <c r="AJ126">
        <v>57</v>
      </c>
      <c r="AK126">
        <v>65</v>
      </c>
      <c r="AL126">
        <v>48</v>
      </c>
      <c r="AM126">
        <v>70</v>
      </c>
      <c r="AN126">
        <v>33</v>
      </c>
    </row>
    <row r="127" spans="1:42" ht="17" x14ac:dyDescent="0.2">
      <c r="A127" t="s">
        <v>112</v>
      </c>
      <c r="B127" t="str">
        <f t="shared" si="1"/>
        <v>.#.##...#</v>
      </c>
      <c r="C127" t="s">
        <v>641</v>
      </c>
      <c r="D127" s="1" t="s">
        <v>666</v>
      </c>
      <c r="E127" t="s">
        <v>667</v>
      </c>
      <c r="F127" t="s">
        <v>398</v>
      </c>
      <c r="G127" t="s">
        <v>425</v>
      </c>
      <c r="H127" t="s">
        <v>741</v>
      </c>
      <c r="I127" t="s">
        <v>668</v>
      </c>
      <c r="J127" t="s">
        <v>350</v>
      </c>
      <c r="K127" t="s">
        <v>461</v>
      </c>
      <c r="L127" t="s">
        <v>669</v>
      </c>
      <c r="M127" t="s">
        <v>748</v>
      </c>
      <c r="N127" t="s">
        <v>748</v>
      </c>
      <c r="AG127">
        <v>70</v>
      </c>
      <c r="AH127">
        <v>26</v>
      </c>
      <c r="AI127">
        <v>38</v>
      </c>
      <c r="AJ127">
        <v>49</v>
      </c>
      <c r="AK127">
        <v>43</v>
      </c>
      <c r="AL127">
        <v>56</v>
      </c>
      <c r="AM127">
        <v>39</v>
      </c>
      <c r="AN127">
        <v>33</v>
      </c>
      <c r="AO127">
        <v>25</v>
      </c>
    </row>
    <row r="128" spans="1:42" ht="17" x14ac:dyDescent="0.2">
      <c r="A128" t="s">
        <v>113</v>
      </c>
      <c r="B128" t="str">
        <f t="shared" si="1"/>
        <v>..###..</v>
      </c>
      <c r="C128" t="s">
        <v>734</v>
      </c>
      <c r="D128" s="1" t="s">
        <v>725</v>
      </c>
      <c r="E128" t="s">
        <v>369</v>
      </c>
      <c r="F128" t="s">
        <v>512</v>
      </c>
      <c r="G128" t="s">
        <v>564</v>
      </c>
      <c r="H128" t="s">
        <v>366</v>
      </c>
      <c r="I128" t="s">
        <v>408</v>
      </c>
      <c r="J128" t="s">
        <v>748</v>
      </c>
      <c r="K128" t="s">
        <v>748</v>
      </c>
      <c r="L128" t="s">
        <v>748</v>
      </c>
      <c r="M128" t="s">
        <v>748</v>
      </c>
      <c r="N128" t="s">
        <v>748</v>
      </c>
      <c r="AG128">
        <v>43</v>
      </c>
      <c r="AH128">
        <v>29</v>
      </c>
      <c r="AI128">
        <v>48</v>
      </c>
      <c r="AJ128">
        <v>36</v>
      </c>
      <c r="AK128">
        <v>27</v>
      </c>
      <c r="AL128">
        <v>34</v>
      </c>
      <c r="AM128">
        <v>49</v>
      </c>
    </row>
    <row r="129" spans="1:42" ht="17" x14ac:dyDescent="0.2">
      <c r="A129" t="s">
        <v>114</v>
      </c>
      <c r="B129" t="str">
        <f t="shared" si="1"/>
        <v>###.</v>
      </c>
      <c r="C129" t="s">
        <v>733</v>
      </c>
      <c r="D129" s="1" t="s">
        <v>731</v>
      </c>
      <c r="E129" t="s">
        <v>724</v>
      </c>
      <c r="F129" t="s">
        <v>394</v>
      </c>
      <c r="G129" t="s">
        <v>722</v>
      </c>
      <c r="H129" t="s">
        <v>748</v>
      </c>
      <c r="I129" t="s">
        <v>748</v>
      </c>
      <c r="J129" t="s">
        <v>748</v>
      </c>
      <c r="K129" t="s">
        <v>748</v>
      </c>
      <c r="L129" t="s">
        <v>748</v>
      </c>
      <c r="M129" t="s">
        <v>748</v>
      </c>
      <c r="N129" t="s">
        <v>748</v>
      </c>
      <c r="AG129">
        <v>26</v>
      </c>
      <c r="AH129">
        <v>18</v>
      </c>
      <c r="AI129">
        <v>3</v>
      </c>
      <c r="AJ129">
        <v>3</v>
      </c>
    </row>
    <row r="130" spans="1:42" ht="17" x14ac:dyDescent="0.2">
      <c r="A130" t="s">
        <v>115</v>
      </c>
      <c r="B130" t="str">
        <f t="shared" si="1"/>
        <v>.##.#</v>
      </c>
      <c r="C130" t="s">
        <v>408</v>
      </c>
      <c r="D130" s="1" t="s">
        <v>722</v>
      </c>
      <c r="E130" t="s">
        <v>318</v>
      </c>
      <c r="F130" t="s">
        <v>409</v>
      </c>
      <c r="G130" t="s">
        <v>739</v>
      </c>
      <c r="H130" t="s">
        <v>748</v>
      </c>
      <c r="I130" t="s">
        <v>748</v>
      </c>
      <c r="J130" t="s">
        <v>748</v>
      </c>
      <c r="K130" t="s">
        <v>748</v>
      </c>
      <c r="L130" t="s">
        <v>748</v>
      </c>
      <c r="M130" t="s">
        <v>748</v>
      </c>
      <c r="N130" t="s">
        <v>748</v>
      </c>
      <c r="AG130">
        <v>18</v>
      </c>
      <c r="AH130">
        <v>158</v>
      </c>
      <c r="AI130">
        <v>172</v>
      </c>
      <c r="AJ130">
        <v>18</v>
      </c>
      <c r="AK130">
        <v>9</v>
      </c>
    </row>
    <row r="131" spans="1:42" ht="17" x14ac:dyDescent="0.2">
      <c r="A131" t="s">
        <v>116</v>
      </c>
      <c r="B131" t="str">
        <f t="shared" ref="B131:B161" si="2">IFERROR(
  MID(
    A131,
    SEARCH("[",A131)+1,
    SEARCH("]",A131)-SEARCH("[",A131)-1
  ),
  ""
)</f>
        <v>#####</v>
      </c>
      <c r="C131" t="s">
        <v>724</v>
      </c>
      <c r="D131" s="1" t="s">
        <v>408</v>
      </c>
      <c r="E131" t="s">
        <v>557</v>
      </c>
      <c r="F131" t="s">
        <v>394</v>
      </c>
      <c r="G131" t="s">
        <v>733</v>
      </c>
      <c r="H131" t="s">
        <v>748</v>
      </c>
      <c r="I131" t="s">
        <v>748</v>
      </c>
      <c r="J131" t="s">
        <v>748</v>
      </c>
      <c r="K131" t="s">
        <v>748</v>
      </c>
      <c r="L131" t="s">
        <v>748</v>
      </c>
      <c r="M131" t="s">
        <v>748</v>
      </c>
      <c r="N131" t="s">
        <v>748</v>
      </c>
      <c r="AG131">
        <v>20</v>
      </c>
      <c r="AH131">
        <v>5</v>
      </c>
      <c r="AI131">
        <v>9</v>
      </c>
      <c r="AJ131">
        <v>13</v>
      </c>
      <c r="AK131">
        <v>9</v>
      </c>
    </row>
    <row r="132" spans="1:42" ht="17" x14ac:dyDescent="0.2">
      <c r="A132" t="s">
        <v>117</v>
      </c>
      <c r="B132" t="str">
        <f t="shared" si="2"/>
        <v>#.##.#..</v>
      </c>
      <c r="C132" t="s">
        <v>656</v>
      </c>
      <c r="D132" s="1" t="s">
        <v>670</v>
      </c>
      <c r="E132" t="s">
        <v>751</v>
      </c>
      <c r="F132" t="s">
        <v>671</v>
      </c>
      <c r="G132" t="s">
        <v>730</v>
      </c>
      <c r="H132" t="s">
        <v>499</v>
      </c>
      <c r="I132" t="s">
        <v>645</v>
      </c>
      <c r="J132" t="s">
        <v>353</v>
      </c>
      <c r="K132" t="s">
        <v>748</v>
      </c>
      <c r="L132" t="s">
        <v>748</v>
      </c>
      <c r="M132" t="s">
        <v>748</v>
      </c>
      <c r="N132" t="s">
        <v>748</v>
      </c>
      <c r="AG132">
        <v>59</v>
      </c>
      <c r="AH132">
        <v>34</v>
      </c>
      <c r="AI132">
        <v>41</v>
      </c>
      <c r="AJ132">
        <v>45</v>
      </c>
      <c r="AK132">
        <v>64</v>
      </c>
      <c r="AL132">
        <v>44</v>
      </c>
      <c r="AM132">
        <v>41</v>
      </c>
      <c r="AN132">
        <v>45</v>
      </c>
    </row>
    <row r="133" spans="1:42" ht="17" x14ac:dyDescent="0.2">
      <c r="A133" t="s">
        <v>118</v>
      </c>
      <c r="B133" t="str">
        <f t="shared" si="2"/>
        <v>..#..#...</v>
      </c>
      <c r="C133" t="s">
        <v>735</v>
      </c>
      <c r="D133" s="1" t="s">
        <v>745</v>
      </c>
      <c r="E133" t="s">
        <v>672</v>
      </c>
      <c r="F133" t="s">
        <v>577</v>
      </c>
      <c r="G133" t="s">
        <v>759</v>
      </c>
      <c r="H133" t="s">
        <v>541</v>
      </c>
      <c r="I133" t="s">
        <v>567</v>
      </c>
      <c r="J133" t="s">
        <v>673</v>
      </c>
      <c r="K133" t="s">
        <v>504</v>
      </c>
      <c r="L133" t="s">
        <v>572</v>
      </c>
      <c r="M133" t="s">
        <v>748</v>
      </c>
      <c r="N133" t="s">
        <v>748</v>
      </c>
      <c r="AG133">
        <v>11</v>
      </c>
      <c r="AH133">
        <v>32</v>
      </c>
      <c r="AI133">
        <v>27</v>
      </c>
      <c r="AJ133">
        <v>64</v>
      </c>
      <c r="AK133">
        <v>63</v>
      </c>
      <c r="AL133">
        <v>45</v>
      </c>
      <c r="AM133">
        <v>58</v>
      </c>
      <c r="AN133">
        <v>58</v>
      </c>
      <c r="AO133">
        <v>48</v>
      </c>
    </row>
    <row r="134" spans="1:42" ht="17" x14ac:dyDescent="0.2">
      <c r="A134" t="s">
        <v>150</v>
      </c>
      <c r="B134" t="str">
        <f t="shared" si="2"/>
        <v>#...#.###.</v>
      </c>
      <c r="C134" t="s">
        <v>674</v>
      </c>
      <c r="D134" s="1" t="s">
        <v>487</v>
      </c>
      <c r="E134" t="s">
        <v>751</v>
      </c>
      <c r="F134" t="s">
        <v>551</v>
      </c>
      <c r="G134" t="s">
        <v>675</v>
      </c>
      <c r="H134" t="s">
        <v>461</v>
      </c>
      <c r="I134" t="s">
        <v>753</v>
      </c>
      <c r="J134" t="s">
        <v>757</v>
      </c>
      <c r="K134" t="s">
        <v>676</v>
      </c>
      <c r="L134" t="s">
        <v>393</v>
      </c>
      <c r="M134" t="s">
        <v>535</v>
      </c>
      <c r="N134" t="s">
        <v>748</v>
      </c>
      <c r="AG134">
        <v>73</v>
      </c>
      <c r="AH134">
        <v>48</v>
      </c>
      <c r="AI134">
        <v>38</v>
      </c>
      <c r="AJ134">
        <v>40</v>
      </c>
      <c r="AK134">
        <v>111</v>
      </c>
      <c r="AL134">
        <v>68</v>
      </c>
      <c r="AM134">
        <v>24</v>
      </c>
      <c r="AN134">
        <v>95</v>
      </c>
      <c r="AO134">
        <v>68</v>
      </c>
      <c r="AP134">
        <v>40</v>
      </c>
    </row>
    <row r="135" spans="1:42" ht="17" x14ac:dyDescent="0.2">
      <c r="A135" t="s">
        <v>119</v>
      </c>
      <c r="B135" t="str">
        <f t="shared" si="2"/>
        <v>#..##...</v>
      </c>
      <c r="C135" t="s">
        <v>736</v>
      </c>
      <c r="D135" s="1" t="s">
        <v>677</v>
      </c>
      <c r="E135" t="s">
        <v>530</v>
      </c>
      <c r="F135" t="s">
        <v>678</v>
      </c>
      <c r="G135" t="s">
        <v>743</v>
      </c>
      <c r="H135" t="s">
        <v>679</v>
      </c>
      <c r="I135" t="s">
        <v>397</v>
      </c>
      <c r="J135" t="s">
        <v>680</v>
      </c>
      <c r="K135" t="s">
        <v>748</v>
      </c>
      <c r="L135" t="s">
        <v>748</v>
      </c>
      <c r="M135" t="s">
        <v>748</v>
      </c>
      <c r="N135" t="s">
        <v>748</v>
      </c>
      <c r="AG135">
        <v>39</v>
      </c>
      <c r="AH135">
        <v>39</v>
      </c>
      <c r="AI135">
        <v>43</v>
      </c>
      <c r="AJ135">
        <v>30</v>
      </c>
      <c r="AK135">
        <v>53</v>
      </c>
      <c r="AL135">
        <v>39</v>
      </c>
      <c r="AM135">
        <v>34</v>
      </c>
      <c r="AN135">
        <v>57</v>
      </c>
    </row>
    <row r="136" spans="1:42" ht="17" x14ac:dyDescent="0.2">
      <c r="A136" t="s">
        <v>120</v>
      </c>
      <c r="B136" t="str">
        <f t="shared" si="2"/>
        <v>###.#</v>
      </c>
      <c r="C136" t="s">
        <v>526</v>
      </c>
      <c r="D136" s="1" t="s">
        <v>721</v>
      </c>
      <c r="E136" t="s">
        <v>482</v>
      </c>
      <c r="F136" t="s">
        <v>402</v>
      </c>
      <c r="G136" t="s">
        <v>748</v>
      </c>
      <c r="H136" t="s">
        <v>748</v>
      </c>
      <c r="I136" t="s">
        <v>748</v>
      </c>
      <c r="J136" t="s">
        <v>748</v>
      </c>
      <c r="K136" t="s">
        <v>748</v>
      </c>
      <c r="L136" t="s">
        <v>748</v>
      </c>
      <c r="M136" t="s">
        <v>748</v>
      </c>
      <c r="N136" t="s">
        <v>748</v>
      </c>
      <c r="AG136">
        <v>6</v>
      </c>
      <c r="AH136">
        <v>36</v>
      </c>
      <c r="AI136">
        <v>14</v>
      </c>
      <c r="AJ136">
        <v>30</v>
      </c>
      <c r="AK136">
        <v>6</v>
      </c>
    </row>
    <row r="137" spans="1:42" ht="17" x14ac:dyDescent="0.2">
      <c r="A137" t="s">
        <v>121</v>
      </c>
      <c r="B137" t="str">
        <f t="shared" si="2"/>
        <v>.#.....#..</v>
      </c>
      <c r="C137" t="s">
        <v>681</v>
      </c>
      <c r="D137" s="1" t="s">
        <v>682</v>
      </c>
      <c r="E137" t="s">
        <v>743</v>
      </c>
      <c r="F137" t="s">
        <v>756</v>
      </c>
      <c r="G137" t="s">
        <v>683</v>
      </c>
      <c r="H137" t="s">
        <v>684</v>
      </c>
      <c r="I137" t="s">
        <v>685</v>
      </c>
      <c r="J137" t="s">
        <v>686</v>
      </c>
      <c r="K137" t="s">
        <v>753</v>
      </c>
      <c r="L137" t="s">
        <v>748</v>
      </c>
      <c r="M137" t="s">
        <v>748</v>
      </c>
      <c r="N137" t="s">
        <v>748</v>
      </c>
      <c r="AG137">
        <v>62</v>
      </c>
      <c r="AH137">
        <v>31</v>
      </c>
      <c r="AI137">
        <v>43</v>
      </c>
      <c r="AJ137">
        <v>64</v>
      </c>
      <c r="AK137">
        <v>25</v>
      </c>
      <c r="AL137">
        <v>25</v>
      </c>
      <c r="AM137">
        <v>64</v>
      </c>
      <c r="AN137">
        <v>39</v>
      </c>
      <c r="AO137">
        <v>44</v>
      </c>
      <c r="AP137">
        <v>87</v>
      </c>
    </row>
    <row r="138" spans="1:42" ht="17" x14ac:dyDescent="0.2">
      <c r="A138" t="s">
        <v>122</v>
      </c>
      <c r="B138" t="str">
        <f t="shared" si="2"/>
        <v>.#.#.###.</v>
      </c>
      <c r="C138" t="s">
        <v>687</v>
      </c>
      <c r="D138" s="1" t="s">
        <v>746</v>
      </c>
      <c r="E138" t="s">
        <v>530</v>
      </c>
      <c r="F138" t="s">
        <v>734</v>
      </c>
      <c r="G138" t="s">
        <v>737</v>
      </c>
      <c r="H138" t="s">
        <v>451</v>
      </c>
      <c r="I138" t="s">
        <v>611</v>
      </c>
      <c r="J138" t="s">
        <v>588</v>
      </c>
      <c r="K138" t="s">
        <v>751</v>
      </c>
      <c r="L138" t="s">
        <v>688</v>
      </c>
      <c r="M138" t="s">
        <v>748</v>
      </c>
      <c r="N138" t="s">
        <v>748</v>
      </c>
      <c r="AG138">
        <v>23</v>
      </c>
      <c r="AH138">
        <v>40</v>
      </c>
      <c r="AI138">
        <v>24</v>
      </c>
      <c r="AJ138">
        <v>39</v>
      </c>
      <c r="AK138">
        <v>79</v>
      </c>
      <c r="AL138">
        <v>31</v>
      </c>
      <c r="AM138">
        <v>64</v>
      </c>
      <c r="AN138">
        <v>44</v>
      </c>
      <c r="AO138">
        <v>43</v>
      </c>
    </row>
    <row r="139" spans="1:42" ht="17" x14ac:dyDescent="0.2">
      <c r="A139" t="s">
        <v>151</v>
      </c>
      <c r="B139" t="str">
        <f t="shared" si="2"/>
        <v>######...#</v>
      </c>
      <c r="C139" t="s">
        <v>599</v>
      </c>
      <c r="D139" s="1" t="s">
        <v>689</v>
      </c>
      <c r="E139" t="s">
        <v>375</v>
      </c>
      <c r="F139" t="s">
        <v>336</v>
      </c>
      <c r="G139" t="s">
        <v>690</v>
      </c>
      <c r="H139" t="s">
        <v>691</v>
      </c>
      <c r="I139" t="s">
        <v>511</v>
      </c>
      <c r="J139" t="s">
        <v>692</v>
      </c>
      <c r="K139" t="s">
        <v>667</v>
      </c>
      <c r="L139" t="s">
        <v>693</v>
      </c>
      <c r="M139" t="s">
        <v>694</v>
      </c>
      <c r="N139" t="s">
        <v>748</v>
      </c>
      <c r="AG139">
        <v>101</v>
      </c>
      <c r="AH139">
        <v>92</v>
      </c>
      <c r="AI139">
        <v>115</v>
      </c>
      <c r="AJ139" t="s">
        <v>843</v>
      </c>
      <c r="AK139">
        <v>73</v>
      </c>
      <c r="AL139">
        <v>85</v>
      </c>
      <c r="AM139">
        <v>95</v>
      </c>
      <c r="AN139">
        <v>42</v>
      </c>
      <c r="AO139">
        <v>70</v>
      </c>
      <c r="AP139">
        <v>91</v>
      </c>
    </row>
    <row r="140" spans="1:42" ht="17" x14ac:dyDescent="0.2">
      <c r="A140" t="s">
        <v>123</v>
      </c>
      <c r="B140" t="str">
        <f t="shared" si="2"/>
        <v>..##....</v>
      </c>
      <c r="C140" t="s">
        <v>561</v>
      </c>
      <c r="D140" s="1" t="s">
        <v>695</v>
      </c>
      <c r="E140" t="s">
        <v>407</v>
      </c>
      <c r="F140" t="s">
        <v>406</v>
      </c>
      <c r="G140" t="s">
        <v>696</v>
      </c>
      <c r="H140" t="s">
        <v>516</v>
      </c>
      <c r="I140" t="s">
        <v>360</v>
      </c>
      <c r="J140" t="s">
        <v>697</v>
      </c>
      <c r="K140" t="s">
        <v>531</v>
      </c>
      <c r="L140" t="s">
        <v>748</v>
      </c>
      <c r="M140" t="s">
        <v>748</v>
      </c>
      <c r="N140" t="s">
        <v>748</v>
      </c>
      <c r="AG140">
        <v>237</v>
      </c>
      <c r="AH140">
        <v>237</v>
      </c>
      <c r="AI140">
        <v>183</v>
      </c>
      <c r="AJ140">
        <v>73</v>
      </c>
      <c r="AK140">
        <v>236</v>
      </c>
      <c r="AL140">
        <v>241</v>
      </c>
      <c r="AM140">
        <v>248</v>
      </c>
      <c r="AN140">
        <v>188</v>
      </c>
    </row>
    <row r="141" spans="1:42" ht="17" x14ac:dyDescent="0.2">
      <c r="A141" t="s">
        <v>124</v>
      </c>
      <c r="B141" t="str">
        <f t="shared" si="2"/>
        <v>.#.#.#....</v>
      </c>
      <c r="C141" t="s">
        <v>370</v>
      </c>
      <c r="D141" s="1" t="s">
        <v>698</v>
      </c>
      <c r="E141" t="s">
        <v>699</v>
      </c>
      <c r="F141" t="s">
        <v>551</v>
      </c>
      <c r="G141" t="s">
        <v>737</v>
      </c>
      <c r="H141" t="s">
        <v>417</v>
      </c>
      <c r="I141" t="s">
        <v>700</v>
      </c>
      <c r="J141" t="s">
        <v>763</v>
      </c>
      <c r="K141" t="s">
        <v>759</v>
      </c>
      <c r="L141" t="s">
        <v>701</v>
      </c>
      <c r="M141" t="s">
        <v>748</v>
      </c>
      <c r="N141" t="s">
        <v>748</v>
      </c>
      <c r="AG141">
        <v>38</v>
      </c>
      <c r="AH141">
        <v>57</v>
      </c>
      <c r="AI141">
        <v>52</v>
      </c>
      <c r="AJ141">
        <v>47</v>
      </c>
      <c r="AK141">
        <v>44</v>
      </c>
      <c r="AL141">
        <v>26</v>
      </c>
      <c r="AM141">
        <v>50</v>
      </c>
      <c r="AN141">
        <v>51</v>
      </c>
      <c r="AO141">
        <v>59</v>
      </c>
      <c r="AP141">
        <v>39</v>
      </c>
    </row>
    <row r="142" spans="1:42" ht="17" x14ac:dyDescent="0.2">
      <c r="A142" t="s">
        <v>152</v>
      </c>
      <c r="B142" t="str">
        <f t="shared" si="2"/>
        <v>....###..</v>
      </c>
      <c r="C142" t="s">
        <v>702</v>
      </c>
      <c r="D142" s="1" t="s">
        <v>700</v>
      </c>
      <c r="E142" t="s">
        <v>662</v>
      </c>
      <c r="F142" t="s">
        <v>407</v>
      </c>
      <c r="G142" t="s">
        <v>703</v>
      </c>
      <c r="H142" t="s">
        <v>704</v>
      </c>
      <c r="I142" t="s">
        <v>459</v>
      </c>
      <c r="J142" t="s">
        <v>705</v>
      </c>
      <c r="K142" t="s">
        <v>505</v>
      </c>
      <c r="L142" t="s">
        <v>748</v>
      </c>
      <c r="M142" t="s">
        <v>748</v>
      </c>
      <c r="N142" t="s">
        <v>748</v>
      </c>
      <c r="AG142">
        <v>61</v>
      </c>
      <c r="AH142">
        <v>54</v>
      </c>
      <c r="AI142">
        <v>75</v>
      </c>
      <c r="AJ142">
        <v>56</v>
      </c>
      <c r="AK142">
        <v>93</v>
      </c>
      <c r="AL142">
        <v>82</v>
      </c>
      <c r="AM142">
        <v>95</v>
      </c>
      <c r="AN142">
        <v>100</v>
      </c>
      <c r="AO142">
        <v>74</v>
      </c>
    </row>
    <row r="143" spans="1:42" ht="17" x14ac:dyDescent="0.2">
      <c r="A143" t="s">
        <v>125</v>
      </c>
      <c r="B143" t="str">
        <f t="shared" si="2"/>
        <v>.###</v>
      </c>
      <c r="C143" t="s">
        <v>394</v>
      </c>
      <c r="D143" s="1" t="s">
        <v>725</v>
      </c>
      <c r="E143" t="s">
        <v>722</v>
      </c>
      <c r="F143" t="s">
        <v>748</v>
      </c>
      <c r="G143" t="s">
        <v>748</v>
      </c>
      <c r="H143" t="s">
        <v>748</v>
      </c>
      <c r="I143" t="s">
        <v>748</v>
      </c>
      <c r="J143" t="s">
        <v>748</v>
      </c>
      <c r="K143" t="s">
        <v>748</v>
      </c>
      <c r="L143" t="s">
        <v>748</v>
      </c>
      <c r="M143" t="s">
        <v>748</v>
      </c>
      <c r="N143" t="s">
        <v>748</v>
      </c>
      <c r="AG143">
        <v>33</v>
      </c>
      <c r="AH143">
        <v>27</v>
      </c>
      <c r="AI143">
        <v>34</v>
      </c>
      <c r="AJ143">
        <v>13</v>
      </c>
    </row>
    <row r="144" spans="1:42" ht="17" x14ac:dyDescent="0.2">
      <c r="A144" t="s">
        <v>126</v>
      </c>
      <c r="B144" t="str">
        <f t="shared" si="2"/>
        <v>.....#</v>
      </c>
      <c r="C144" t="s">
        <v>519</v>
      </c>
      <c r="D144" s="1" t="s">
        <v>317</v>
      </c>
      <c r="E144" t="s">
        <v>409</v>
      </c>
      <c r="F144" t="s">
        <v>526</v>
      </c>
      <c r="G144" t="s">
        <v>560</v>
      </c>
      <c r="H144" t="s">
        <v>730</v>
      </c>
      <c r="I144" t="s">
        <v>723</v>
      </c>
      <c r="J144" t="s">
        <v>520</v>
      </c>
      <c r="K144" t="s">
        <v>748</v>
      </c>
      <c r="L144" t="s">
        <v>748</v>
      </c>
      <c r="M144" t="s">
        <v>748</v>
      </c>
      <c r="N144" t="s">
        <v>748</v>
      </c>
      <c r="AG144">
        <v>44</v>
      </c>
      <c r="AH144">
        <v>42</v>
      </c>
      <c r="AI144">
        <v>41</v>
      </c>
      <c r="AJ144">
        <v>26</v>
      </c>
      <c r="AK144">
        <v>42</v>
      </c>
      <c r="AL144">
        <v>34</v>
      </c>
    </row>
    <row r="145" spans="1:42" ht="17" x14ac:dyDescent="0.2">
      <c r="A145" t="s">
        <v>127</v>
      </c>
      <c r="B145" t="str">
        <f t="shared" si="2"/>
        <v>##.#.</v>
      </c>
      <c r="C145" t="s">
        <v>520</v>
      </c>
      <c r="D145" s="1" t="s">
        <v>408</v>
      </c>
      <c r="E145" t="s">
        <v>722</v>
      </c>
      <c r="F145" t="s">
        <v>741</v>
      </c>
      <c r="G145" t="s">
        <v>449</v>
      </c>
      <c r="H145" t="s">
        <v>482</v>
      </c>
      <c r="I145" t="s">
        <v>435</v>
      </c>
      <c r="J145" t="s">
        <v>748</v>
      </c>
      <c r="K145" t="s">
        <v>748</v>
      </c>
      <c r="L145" t="s">
        <v>748</v>
      </c>
      <c r="M145" t="s">
        <v>748</v>
      </c>
      <c r="N145" t="s">
        <v>748</v>
      </c>
      <c r="AG145">
        <v>39</v>
      </c>
      <c r="AH145">
        <v>53</v>
      </c>
      <c r="AI145">
        <v>43</v>
      </c>
      <c r="AJ145">
        <v>42</v>
      </c>
      <c r="AK145">
        <v>47</v>
      </c>
    </row>
    <row r="146" spans="1:42" ht="17" x14ac:dyDescent="0.2">
      <c r="A146" t="s">
        <v>128</v>
      </c>
      <c r="B146" t="str">
        <f t="shared" si="2"/>
        <v>..#.#</v>
      </c>
      <c r="C146" t="s">
        <v>482</v>
      </c>
      <c r="D146" s="1" t="s">
        <v>317</v>
      </c>
      <c r="E146" t="s">
        <v>526</v>
      </c>
      <c r="F146" t="s">
        <v>433</v>
      </c>
      <c r="G146" t="s">
        <v>748</v>
      </c>
      <c r="H146" t="s">
        <v>748</v>
      </c>
      <c r="I146" t="s">
        <v>748</v>
      </c>
      <c r="J146" t="s">
        <v>748</v>
      </c>
      <c r="K146" t="s">
        <v>748</v>
      </c>
      <c r="L146" t="s">
        <v>748</v>
      </c>
      <c r="M146" t="s">
        <v>748</v>
      </c>
      <c r="N146" t="s">
        <v>748</v>
      </c>
      <c r="AG146">
        <v>19</v>
      </c>
      <c r="AH146">
        <v>25</v>
      </c>
      <c r="AI146">
        <v>16</v>
      </c>
      <c r="AJ146">
        <v>6</v>
      </c>
      <c r="AK146">
        <v>9</v>
      </c>
    </row>
    <row r="147" spans="1:42" ht="17" x14ac:dyDescent="0.2">
      <c r="A147" t="s">
        <v>129</v>
      </c>
      <c r="B147" t="str">
        <f t="shared" si="2"/>
        <v>#..###.</v>
      </c>
      <c r="C147" t="s">
        <v>737</v>
      </c>
      <c r="D147" s="1" t="s">
        <v>731</v>
      </c>
      <c r="E147" t="s">
        <v>733</v>
      </c>
      <c r="F147" t="s">
        <v>370</v>
      </c>
      <c r="G147" t="s">
        <v>587</v>
      </c>
      <c r="H147" t="s">
        <v>407</v>
      </c>
      <c r="I147" t="s">
        <v>743</v>
      </c>
      <c r="J147" t="s">
        <v>320</v>
      </c>
      <c r="K147" t="s">
        <v>518</v>
      </c>
      <c r="L147" t="s">
        <v>748</v>
      </c>
      <c r="M147" t="s">
        <v>748</v>
      </c>
      <c r="N147" t="s">
        <v>748</v>
      </c>
      <c r="AG147">
        <v>43</v>
      </c>
      <c r="AH147">
        <v>35</v>
      </c>
      <c r="AI147">
        <v>31</v>
      </c>
      <c r="AJ147">
        <v>31</v>
      </c>
      <c r="AK147">
        <v>31</v>
      </c>
      <c r="AL147">
        <v>35</v>
      </c>
      <c r="AM147">
        <v>50</v>
      </c>
    </row>
    <row r="148" spans="1:42" ht="17" x14ac:dyDescent="0.2">
      <c r="A148" t="s">
        <v>130</v>
      </c>
      <c r="B148" t="str">
        <f t="shared" si="2"/>
        <v>.##.##.##</v>
      </c>
      <c r="C148" t="s">
        <v>615</v>
      </c>
      <c r="D148" s="1" t="s">
        <v>561</v>
      </c>
      <c r="E148" t="s">
        <v>520</v>
      </c>
      <c r="F148" t="s">
        <v>323</v>
      </c>
      <c r="G148" t="s">
        <v>754</v>
      </c>
      <c r="H148" t="s">
        <v>761</v>
      </c>
      <c r="I148" t="s">
        <v>724</v>
      </c>
      <c r="J148" t="s">
        <v>706</v>
      </c>
      <c r="K148" t="s">
        <v>320</v>
      </c>
      <c r="L148" t="s">
        <v>748</v>
      </c>
      <c r="M148" t="s">
        <v>748</v>
      </c>
      <c r="N148" t="s">
        <v>748</v>
      </c>
      <c r="AG148">
        <v>34</v>
      </c>
      <c r="AH148">
        <v>17</v>
      </c>
      <c r="AI148">
        <v>23</v>
      </c>
      <c r="AJ148">
        <v>37</v>
      </c>
      <c r="AK148">
        <v>16</v>
      </c>
      <c r="AL148">
        <v>44</v>
      </c>
      <c r="AM148">
        <v>2</v>
      </c>
      <c r="AN148">
        <v>14</v>
      </c>
      <c r="AO148">
        <v>2</v>
      </c>
    </row>
    <row r="149" spans="1:42" ht="17" x14ac:dyDescent="0.2">
      <c r="A149" t="s">
        <v>153</v>
      </c>
      <c r="B149" t="str">
        <f t="shared" si="2"/>
        <v>..##..#...</v>
      </c>
      <c r="C149" t="s">
        <v>707</v>
      </c>
      <c r="D149" s="1" t="s">
        <v>708</v>
      </c>
      <c r="E149" t="s">
        <v>709</v>
      </c>
      <c r="F149" t="s">
        <v>619</v>
      </c>
      <c r="G149" t="s">
        <v>456</v>
      </c>
      <c r="H149" t="s">
        <v>710</v>
      </c>
      <c r="I149" t="s">
        <v>711</v>
      </c>
      <c r="J149" t="s">
        <v>582</v>
      </c>
      <c r="K149" t="s">
        <v>712</v>
      </c>
      <c r="L149" t="s">
        <v>713</v>
      </c>
      <c r="M149" t="s">
        <v>606</v>
      </c>
      <c r="N149" t="s">
        <v>748</v>
      </c>
      <c r="AG149">
        <v>31</v>
      </c>
      <c r="AH149">
        <v>37</v>
      </c>
      <c r="AI149">
        <v>21</v>
      </c>
      <c r="AJ149">
        <v>46</v>
      </c>
      <c r="AK149">
        <v>69</v>
      </c>
      <c r="AL149">
        <v>41</v>
      </c>
      <c r="AM149">
        <v>66</v>
      </c>
      <c r="AN149">
        <v>44</v>
      </c>
      <c r="AO149" t="s">
        <v>837</v>
      </c>
      <c r="AP149">
        <v>39</v>
      </c>
    </row>
    <row r="150" spans="1:42" ht="17" x14ac:dyDescent="0.2">
      <c r="A150" t="s">
        <v>154</v>
      </c>
      <c r="B150" t="str">
        <f t="shared" si="2"/>
        <v>#.#.#.....</v>
      </c>
      <c r="C150" t="s">
        <v>714</v>
      </c>
      <c r="D150" s="1" t="s">
        <v>428</v>
      </c>
      <c r="E150" t="s">
        <v>627</v>
      </c>
      <c r="F150" t="s">
        <v>381</v>
      </c>
      <c r="G150" t="s">
        <v>749</v>
      </c>
      <c r="H150" t="s">
        <v>383</v>
      </c>
      <c r="I150" t="s">
        <v>715</v>
      </c>
      <c r="J150" t="s">
        <v>518</v>
      </c>
      <c r="K150" t="s">
        <v>705</v>
      </c>
      <c r="L150" t="s">
        <v>716</v>
      </c>
      <c r="M150" t="s">
        <v>717</v>
      </c>
      <c r="N150" t="s">
        <v>718</v>
      </c>
      <c r="O150" t="s">
        <v>719</v>
      </c>
      <c r="AG150">
        <v>63</v>
      </c>
      <c r="AH150">
        <v>27</v>
      </c>
      <c r="AI150">
        <v>54</v>
      </c>
      <c r="AJ150">
        <v>28</v>
      </c>
      <c r="AK150">
        <v>46</v>
      </c>
      <c r="AL150">
        <v>57</v>
      </c>
      <c r="AM150">
        <v>54</v>
      </c>
      <c r="AN150">
        <v>22</v>
      </c>
      <c r="AO150">
        <v>27</v>
      </c>
      <c r="AP150" t="s">
        <v>844</v>
      </c>
    </row>
    <row r="151" spans="1:42" ht="17" x14ac:dyDescent="0.2">
      <c r="A151" t="s">
        <v>131</v>
      </c>
      <c r="B151" t="str">
        <f t="shared" si="2"/>
        <v>##..</v>
      </c>
      <c r="C151" t="s">
        <v>721</v>
      </c>
      <c r="D151" s="1" t="s">
        <v>730</v>
      </c>
      <c r="E151" t="s">
        <v>731</v>
      </c>
      <c r="F151" t="s">
        <v>733</v>
      </c>
      <c r="G151" t="s">
        <v>748</v>
      </c>
      <c r="H151" t="s">
        <v>748</v>
      </c>
      <c r="I151" t="s">
        <v>748</v>
      </c>
      <c r="J151" t="s">
        <v>748</v>
      </c>
      <c r="K151" t="s">
        <v>748</v>
      </c>
      <c r="L151" t="s">
        <v>748</v>
      </c>
      <c r="M151" t="s">
        <v>748</v>
      </c>
      <c r="N151" t="s">
        <v>748</v>
      </c>
      <c r="AG151">
        <v>4</v>
      </c>
      <c r="AH151">
        <v>11</v>
      </c>
      <c r="AI151">
        <v>14</v>
      </c>
      <c r="AJ151">
        <v>31</v>
      </c>
    </row>
    <row r="152" spans="1:42" ht="17" x14ac:dyDescent="0.2">
      <c r="A152" t="s">
        <v>132</v>
      </c>
      <c r="B152" t="str">
        <f t="shared" si="2"/>
        <v>.#.#</v>
      </c>
      <c r="C152" t="s">
        <v>394</v>
      </c>
      <c r="D152" s="1" t="s">
        <v>725</v>
      </c>
      <c r="E152" t="s">
        <v>721</v>
      </c>
      <c r="F152" t="s">
        <v>722</v>
      </c>
      <c r="G152" t="s">
        <v>732</v>
      </c>
      <c r="H152" t="s">
        <v>730</v>
      </c>
      <c r="I152" t="s">
        <v>748</v>
      </c>
      <c r="J152" t="s">
        <v>748</v>
      </c>
      <c r="K152" t="s">
        <v>748</v>
      </c>
      <c r="L152" t="s">
        <v>748</v>
      </c>
      <c r="M152" t="s">
        <v>748</v>
      </c>
      <c r="N152" t="s">
        <v>748</v>
      </c>
      <c r="AG152">
        <v>29</v>
      </c>
      <c r="AH152">
        <v>22</v>
      </c>
      <c r="AI152">
        <v>24</v>
      </c>
      <c r="AJ152">
        <v>23</v>
      </c>
    </row>
    <row r="153" spans="1:42" ht="17" x14ac:dyDescent="0.2">
      <c r="A153" t="s">
        <v>133</v>
      </c>
      <c r="B153" t="str">
        <f t="shared" si="2"/>
        <v>#.##...</v>
      </c>
      <c r="C153" t="s">
        <v>624</v>
      </c>
      <c r="D153" s="1" t="s">
        <v>747</v>
      </c>
      <c r="E153" t="s">
        <v>591</v>
      </c>
      <c r="F153" t="s">
        <v>368</v>
      </c>
      <c r="G153" t="s">
        <v>432</v>
      </c>
      <c r="H153" t="s">
        <v>738</v>
      </c>
      <c r="I153" t="s">
        <v>748</v>
      </c>
      <c r="J153" t="s">
        <v>748</v>
      </c>
      <c r="K153" t="s">
        <v>748</v>
      </c>
      <c r="L153" t="s">
        <v>748</v>
      </c>
      <c r="M153" t="s">
        <v>748</v>
      </c>
      <c r="N153" t="s">
        <v>748</v>
      </c>
      <c r="AG153">
        <v>18</v>
      </c>
      <c r="AH153">
        <v>35</v>
      </c>
      <c r="AI153">
        <v>40</v>
      </c>
      <c r="AJ153">
        <v>224</v>
      </c>
      <c r="AK153">
        <v>27</v>
      </c>
      <c r="AL153">
        <v>224</v>
      </c>
      <c r="AM153">
        <v>35</v>
      </c>
    </row>
    <row r="154" spans="1:42" ht="17" x14ac:dyDescent="0.2">
      <c r="A154" t="s">
        <v>134</v>
      </c>
      <c r="B154" t="str">
        <f t="shared" si="2"/>
        <v>##..#..</v>
      </c>
      <c r="C154" t="s">
        <v>527</v>
      </c>
      <c r="D154" s="1" t="s">
        <v>394</v>
      </c>
      <c r="E154" t="s">
        <v>369</v>
      </c>
      <c r="F154" t="s">
        <v>538</v>
      </c>
      <c r="G154" t="s">
        <v>724</v>
      </c>
      <c r="H154" t="s">
        <v>319</v>
      </c>
      <c r="I154" t="s">
        <v>497</v>
      </c>
      <c r="J154" t="s">
        <v>645</v>
      </c>
      <c r="K154" t="s">
        <v>434</v>
      </c>
      <c r="L154" t="s">
        <v>748</v>
      </c>
      <c r="M154" t="s">
        <v>748</v>
      </c>
      <c r="N154" t="s">
        <v>748</v>
      </c>
      <c r="AG154">
        <v>50</v>
      </c>
      <c r="AH154">
        <v>35</v>
      </c>
      <c r="AI154">
        <v>16</v>
      </c>
      <c r="AJ154">
        <v>31</v>
      </c>
      <c r="AK154">
        <v>64</v>
      </c>
      <c r="AL154">
        <v>66</v>
      </c>
      <c r="AM154">
        <v>48</v>
      </c>
    </row>
    <row r="155" spans="1:42" ht="17" x14ac:dyDescent="0.2">
      <c r="B155" t="str">
        <f t="shared" si="2"/>
        <v/>
      </c>
      <c r="D155" s="1" t="s">
        <v>748</v>
      </c>
      <c r="E155" t="s">
        <v>748</v>
      </c>
    </row>
    <row r="156" spans="1:42" ht="17" x14ac:dyDescent="0.2">
      <c r="B156" t="str">
        <f t="shared" si="2"/>
        <v/>
      </c>
      <c r="D156" s="1" t="s">
        <v>748</v>
      </c>
    </row>
    <row r="157" spans="1:42" ht="17" x14ac:dyDescent="0.2">
      <c r="B157" t="str">
        <f t="shared" si="2"/>
        <v/>
      </c>
      <c r="D157" s="1" t="s">
        <v>748</v>
      </c>
    </row>
    <row r="158" spans="1:42" ht="17" x14ac:dyDescent="0.2">
      <c r="B158" t="str">
        <f t="shared" si="2"/>
        <v/>
      </c>
      <c r="D158" s="1" t="s">
        <v>748</v>
      </c>
    </row>
    <row r="159" spans="1:42" ht="17" x14ac:dyDescent="0.2">
      <c r="B159" t="str">
        <f t="shared" si="2"/>
        <v/>
      </c>
      <c r="D159" s="1" t="s">
        <v>748</v>
      </c>
    </row>
    <row r="160" spans="1:42" ht="17" x14ac:dyDescent="0.2">
      <c r="B160" t="str">
        <f t="shared" si="2"/>
        <v/>
      </c>
      <c r="D160" s="1" t="s">
        <v>748</v>
      </c>
    </row>
    <row r="161" spans="2:4" ht="17" x14ac:dyDescent="0.2">
      <c r="B161" t="str">
        <f t="shared" si="2"/>
        <v/>
      </c>
      <c r="D161" s="1" t="s">
        <v>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07AF-9800-6743-841D-35A0A8BC006C}">
  <dimension ref="A2:U60"/>
  <sheetViews>
    <sheetView tabSelected="1" topLeftCell="I1" workbookViewId="0">
      <selection activeCell="U11" sqref="U11"/>
    </sheetView>
  </sheetViews>
  <sheetFormatPr baseColWidth="10" defaultRowHeight="16" x14ac:dyDescent="0.2"/>
  <cols>
    <col min="2" max="2" width="25.1640625" customWidth="1"/>
    <col min="3" max="3" width="17.5" customWidth="1"/>
    <col min="20" max="21" width="11.33203125" bestFit="1" customWidth="1"/>
  </cols>
  <sheetData>
    <row r="2" spans="1:21" x14ac:dyDescent="0.2">
      <c r="B2" t="s">
        <v>772</v>
      </c>
      <c r="C2" t="s">
        <v>773</v>
      </c>
      <c r="D2" t="s">
        <v>774</v>
      </c>
      <c r="E2" t="s">
        <v>775</v>
      </c>
      <c r="F2" t="s">
        <v>776</v>
      </c>
      <c r="G2" t="s">
        <v>777</v>
      </c>
      <c r="H2" t="s">
        <v>778</v>
      </c>
      <c r="I2" t="s">
        <v>779</v>
      </c>
      <c r="J2" t="s">
        <v>780</v>
      </c>
      <c r="K2" t="s">
        <v>781</v>
      </c>
      <c r="L2" t="s">
        <v>782</v>
      </c>
      <c r="M2" t="s">
        <v>783</v>
      </c>
      <c r="N2" t="s">
        <v>784</v>
      </c>
      <c r="O2" t="s">
        <v>785</v>
      </c>
      <c r="P2" t="s">
        <v>786</v>
      </c>
    </row>
    <row r="3" spans="1:21" ht="17" x14ac:dyDescent="0.2">
      <c r="B3" t="s">
        <v>720</v>
      </c>
      <c r="C3" s="1" t="s">
        <v>308</v>
      </c>
      <c r="D3" t="s">
        <v>309</v>
      </c>
      <c r="E3" t="s">
        <v>310</v>
      </c>
      <c r="F3" t="s">
        <v>757</v>
      </c>
      <c r="G3" t="s">
        <v>311</v>
      </c>
      <c r="H3" t="s">
        <v>312</v>
      </c>
    </row>
    <row r="6" spans="1:21" x14ac:dyDescent="0.2">
      <c r="B6" t="s">
        <v>787</v>
      </c>
      <c r="C6" t="s">
        <v>788</v>
      </c>
      <c r="D6" t="s">
        <v>789</v>
      </c>
      <c r="E6" t="s">
        <v>790</v>
      </c>
      <c r="F6" t="s">
        <v>791</v>
      </c>
      <c r="G6" t="s">
        <v>792</v>
      </c>
      <c r="H6" t="s">
        <v>793</v>
      </c>
      <c r="I6" t="s">
        <v>794</v>
      </c>
      <c r="J6" t="s">
        <v>795</v>
      </c>
      <c r="K6" t="s">
        <v>796</v>
      </c>
      <c r="L6" t="s">
        <v>797</v>
      </c>
      <c r="M6" t="s">
        <v>798</v>
      </c>
      <c r="N6" t="s">
        <v>799</v>
      </c>
      <c r="O6" t="s">
        <v>800</v>
      </c>
      <c r="P6" t="s">
        <v>801</v>
      </c>
    </row>
    <row r="7" spans="1:21" x14ac:dyDescent="0.2">
      <c r="B7">
        <v>8</v>
      </c>
      <c r="C7">
        <v>27</v>
      </c>
      <c r="D7">
        <v>38</v>
      </c>
      <c r="E7">
        <v>16</v>
      </c>
      <c r="F7">
        <v>29</v>
      </c>
      <c r="G7">
        <v>6</v>
      </c>
      <c r="H7">
        <v>33</v>
      </c>
      <c r="I7">
        <v>24</v>
      </c>
      <c r="J7">
        <v>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9" spans="1:21" x14ac:dyDescent="0.2">
      <c r="Q9" t="s">
        <v>845</v>
      </c>
      <c r="R9" t="s">
        <v>846</v>
      </c>
    </row>
    <row r="10" spans="1:21" x14ac:dyDescent="0.2">
      <c r="A10" t="s">
        <v>803</v>
      </c>
      <c r="B10" s="3">
        <f>IF(ISERROR(SEARCH("," &amp; (ROW()-10) &amp; ",", "," &amp; SUBSTITUTE(SUBSTITUTE(B$3,"(", ""), ")","") &amp; ",")),0,1)</f>
        <v>0</v>
      </c>
      <c r="C10" s="3">
        <f t="shared" ref="C10:P25" si="0">IF(ISERROR(SEARCH("," &amp; (ROW()-10) &amp; ",", "," &amp; SUBSTITUTE(SUBSTITUTE(C$3,"(", ""), ")","") &amp; ",")),0,1)</f>
        <v>0</v>
      </c>
      <c r="D10" s="3">
        <f t="shared" si="0"/>
        <v>0</v>
      </c>
      <c r="E10" s="3">
        <f t="shared" si="0"/>
        <v>1</v>
      </c>
      <c r="F10" s="3">
        <f t="shared" si="0"/>
        <v>0</v>
      </c>
      <c r="G10" s="3">
        <f t="shared" si="0"/>
        <v>1</v>
      </c>
      <c r="H10" s="3">
        <f t="shared" si="0"/>
        <v>0</v>
      </c>
      <c r="I10" s="3">
        <f t="shared" si="0"/>
        <v>0</v>
      </c>
      <c r="J10" s="3">
        <f t="shared" si="0"/>
        <v>0</v>
      </c>
      <c r="K10" s="3">
        <f t="shared" si="0"/>
        <v>0</v>
      </c>
      <c r="L10" s="3">
        <f t="shared" si="0"/>
        <v>0</v>
      </c>
      <c r="M10" s="3">
        <f t="shared" si="0"/>
        <v>0</v>
      </c>
      <c r="N10" s="3">
        <f t="shared" si="0"/>
        <v>0</v>
      </c>
      <c r="O10" s="3">
        <f t="shared" si="0"/>
        <v>0</v>
      </c>
      <c r="P10" s="3">
        <f t="shared" si="0"/>
        <v>0</v>
      </c>
      <c r="Q10" s="5">
        <f>SUMPRODUCT($B10:$P10,$B$33:$P$33)</f>
        <v>0</v>
      </c>
      <c r="R10">
        <f>Q10-B$7</f>
        <v>-8</v>
      </c>
      <c r="S10" s="6">
        <f>R10-Q10</f>
        <v>-8</v>
      </c>
      <c r="T10" t="e" cm="1">
        <f t="array" aca="1" ref="T10" ca="1">UNIRTEXTO(" + ",TRUE,IF(B10:P10=1,"x"&amp;COLUMN(B10:P10)-COLUMN($B$10)+1,""))&amp;" = "&amp;Q10</f>
        <v>#NAME?</v>
      </c>
      <c r="U10" t="e" cm="1">
        <f t="array" aca="1" ref="U10" ca="1">_xludf.SUMPRODUCT($B10:$P10,$B$33:$P$33)</f>
        <v>#NAME?</v>
      </c>
    </row>
    <row r="11" spans="1:21" x14ac:dyDescent="0.2">
      <c r="A11" t="s">
        <v>802</v>
      </c>
      <c r="B11" s="3">
        <f t="shared" ref="B11:P29" si="1">IF(ISERROR(SEARCH("," &amp; (ROW()-10) &amp; ",", "," &amp; SUBSTITUTE(SUBSTITUTE(B$3,"(", ""), ")","") &amp; ",")),0,1)</f>
        <v>0</v>
      </c>
      <c r="C11" s="3">
        <f t="shared" si="0"/>
        <v>1</v>
      </c>
      <c r="D11" s="3">
        <f t="shared" si="0"/>
        <v>0</v>
      </c>
      <c r="E11" s="3">
        <f t="shared" si="0"/>
        <v>1</v>
      </c>
      <c r="F11" s="3">
        <f t="shared" si="0"/>
        <v>0</v>
      </c>
      <c r="G11" s="3">
        <f t="shared" si="0"/>
        <v>0</v>
      </c>
      <c r="H11" s="3">
        <f t="shared" si="0"/>
        <v>1</v>
      </c>
      <c r="I11" s="3">
        <f t="shared" si="0"/>
        <v>0</v>
      </c>
      <c r="J11" s="3">
        <f t="shared" si="0"/>
        <v>0</v>
      </c>
      <c r="K11" s="3">
        <f t="shared" si="0"/>
        <v>0</v>
      </c>
      <c r="L11" s="3">
        <f t="shared" si="0"/>
        <v>0</v>
      </c>
      <c r="M11" s="3">
        <f t="shared" si="0"/>
        <v>0</v>
      </c>
      <c r="N11" s="3">
        <f t="shared" si="0"/>
        <v>0</v>
      </c>
      <c r="O11" s="3">
        <f t="shared" si="0"/>
        <v>0</v>
      </c>
      <c r="P11" s="3">
        <f t="shared" si="0"/>
        <v>0</v>
      </c>
      <c r="Q11" s="5">
        <f t="shared" ref="Q11:Q29" si="2">SUMPRODUCT($B11:$P11,$B$33:$P$33)</f>
        <v>0</v>
      </c>
      <c r="R11">
        <f>Q10-C$7</f>
        <v>-27</v>
      </c>
      <c r="S11" s="6">
        <f t="shared" ref="S11:S29" si="3">R11-Q11</f>
        <v>-27</v>
      </c>
      <c r="T11" t="e" cm="1">
        <f t="array" aca="1" ref="T11" ca="1">UNIRTEXTO(" + ",TRUE,IF(B11:P11=1,"x"&amp;COLUMN(B11:P11)-COLUMN($B$10)+1,""))&amp;" = "&amp;Q11</f>
        <v>#NAME?</v>
      </c>
    </row>
    <row r="12" spans="1:21" x14ac:dyDescent="0.2">
      <c r="A12" t="s">
        <v>804</v>
      </c>
      <c r="B12" s="3">
        <f t="shared" si="1"/>
        <v>1</v>
      </c>
      <c r="C12" s="3">
        <f t="shared" si="0"/>
        <v>1</v>
      </c>
      <c r="D12" s="3">
        <f t="shared" si="0"/>
        <v>1</v>
      </c>
      <c r="E12" s="3">
        <f t="shared" si="0"/>
        <v>1</v>
      </c>
      <c r="F12" s="3">
        <f t="shared" si="0"/>
        <v>0</v>
      </c>
      <c r="G12" s="3">
        <f t="shared" si="0"/>
        <v>0</v>
      </c>
      <c r="H12" s="3">
        <f t="shared" si="0"/>
        <v>1</v>
      </c>
      <c r="I12" s="3">
        <f t="shared" si="0"/>
        <v>0</v>
      </c>
      <c r="J12" s="3">
        <f t="shared" si="0"/>
        <v>0</v>
      </c>
      <c r="K12" s="3">
        <f t="shared" si="0"/>
        <v>0</v>
      </c>
      <c r="L12" s="3">
        <f t="shared" si="0"/>
        <v>0</v>
      </c>
      <c r="M12" s="3">
        <f t="shared" si="0"/>
        <v>0</v>
      </c>
      <c r="N12" s="3">
        <f t="shared" si="0"/>
        <v>0</v>
      </c>
      <c r="O12" s="3">
        <f t="shared" si="0"/>
        <v>0</v>
      </c>
      <c r="P12" s="3">
        <f t="shared" si="0"/>
        <v>0</v>
      </c>
      <c r="Q12" s="5">
        <f t="shared" si="2"/>
        <v>0</v>
      </c>
      <c r="R12">
        <f>Q12-D7</f>
        <v>-38</v>
      </c>
      <c r="S12" s="6">
        <f t="shared" si="3"/>
        <v>-38</v>
      </c>
      <c r="T12" t="e" cm="1">
        <f t="array" aca="1" ref="T12" ca="1">UNIRTEXTO(" + ",TRUE,IF(B12:P12=1,"x"&amp;COLUMN(B12:P12)-COLUMN($B$10)+1,""))&amp;" = "&amp;Q12</f>
        <v>#NAME?</v>
      </c>
    </row>
    <row r="13" spans="1:21" x14ac:dyDescent="0.2">
      <c r="A13" t="s">
        <v>805</v>
      </c>
      <c r="B13" s="3">
        <f t="shared" si="1"/>
        <v>0</v>
      </c>
      <c r="C13" s="3">
        <f t="shared" si="0"/>
        <v>0</v>
      </c>
      <c r="D13" s="3">
        <f t="shared" si="0"/>
        <v>0</v>
      </c>
      <c r="E13" s="3">
        <f t="shared" si="0"/>
        <v>0</v>
      </c>
      <c r="F13" s="3">
        <f t="shared" si="0"/>
        <v>1</v>
      </c>
      <c r="G13" s="3">
        <f t="shared" si="0"/>
        <v>1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  <c r="O13" s="3">
        <f t="shared" si="0"/>
        <v>0</v>
      </c>
      <c r="P13" s="3">
        <f t="shared" si="0"/>
        <v>0</v>
      </c>
      <c r="Q13" s="5">
        <f t="shared" si="2"/>
        <v>0</v>
      </c>
      <c r="R13">
        <f>Q13-E7</f>
        <v>-16</v>
      </c>
      <c r="S13" s="6">
        <f t="shared" si="3"/>
        <v>-16</v>
      </c>
      <c r="T13" t="e" cm="1">
        <f t="array" aca="1" ref="T13" ca="1">UNIRTEXTO(" + ",TRUE,IF(B13:P13=1,"x"&amp;COLUMN(B13:P13)-COLUMN($B$10)+1,""))&amp;" = "&amp;Q13</f>
        <v>#NAME?</v>
      </c>
    </row>
    <row r="14" spans="1:21" x14ac:dyDescent="0.2">
      <c r="A14" t="s">
        <v>806</v>
      </c>
      <c r="B14" s="3">
        <f t="shared" si="1"/>
        <v>1</v>
      </c>
      <c r="C14" s="3">
        <f t="shared" si="0"/>
        <v>0</v>
      </c>
      <c r="D14" s="3">
        <f t="shared" si="0"/>
        <v>0</v>
      </c>
      <c r="E14" s="3">
        <f t="shared" si="0"/>
        <v>1</v>
      </c>
      <c r="F14" s="3">
        <f t="shared" si="0"/>
        <v>0</v>
      </c>
      <c r="G14" s="3">
        <f t="shared" si="0"/>
        <v>1</v>
      </c>
      <c r="H14" s="3">
        <f t="shared" si="0"/>
        <v>1</v>
      </c>
      <c r="I14" s="3">
        <f t="shared" si="0"/>
        <v>0</v>
      </c>
      <c r="J14" s="3">
        <f t="shared" si="0"/>
        <v>0</v>
      </c>
      <c r="K14" s="3">
        <f t="shared" si="0"/>
        <v>0</v>
      </c>
      <c r="L14" s="3">
        <f t="shared" si="0"/>
        <v>0</v>
      </c>
      <c r="M14" s="3">
        <f t="shared" si="0"/>
        <v>0</v>
      </c>
      <c r="N14" s="3">
        <f t="shared" si="0"/>
        <v>0</v>
      </c>
      <c r="O14" s="3">
        <f t="shared" si="0"/>
        <v>0</v>
      </c>
      <c r="P14" s="3">
        <f t="shared" si="0"/>
        <v>0</v>
      </c>
      <c r="Q14" s="5">
        <f t="shared" si="2"/>
        <v>0</v>
      </c>
      <c r="R14">
        <f>Q14-F7</f>
        <v>-29</v>
      </c>
      <c r="S14" s="6">
        <f t="shared" si="3"/>
        <v>-29</v>
      </c>
      <c r="T14" t="e" cm="1">
        <f t="array" aca="1" ref="T14" ca="1">UNIRTEXTO(" + ",TRUE,IF(B14:P14=1,"x"&amp;COLUMN(B14:P14)-COLUMN($B$10)+1,""))&amp;" = "&amp;Q14</f>
        <v>#NAME?</v>
      </c>
    </row>
    <row r="15" spans="1:21" x14ac:dyDescent="0.2">
      <c r="A15" t="s">
        <v>807</v>
      </c>
      <c r="B15" s="3">
        <f t="shared" si="1"/>
        <v>0</v>
      </c>
      <c r="C15" s="3">
        <f t="shared" si="0"/>
        <v>0</v>
      </c>
      <c r="D15" s="3">
        <f t="shared" si="0"/>
        <v>1</v>
      </c>
      <c r="E15" s="3">
        <f t="shared" si="0"/>
        <v>0</v>
      </c>
      <c r="F15" s="3">
        <f t="shared" si="0"/>
        <v>0</v>
      </c>
      <c r="G15" s="3">
        <f t="shared" si="0"/>
        <v>1</v>
      </c>
      <c r="H15" s="3">
        <f t="shared" si="0"/>
        <v>0</v>
      </c>
      <c r="I15" s="3">
        <f t="shared" si="0"/>
        <v>0</v>
      </c>
      <c r="J15" s="3">
        <f t="shared" si="0"/>
        <v>0</v>
      </c>
      <c r="K15" s="3">
        <f t="shared" si="0"/>
        <v>0</v>
      </c>
      <c r="L15" s="3">
        <f t="shared" si="0"/>
        <v>0</v>
      </c>
      <c r="M15" s="3">
        <f t="shared" si="0"/>
        <v>0</v>
      </c>
      <c r="N15" s="3">
        <f t="shared" si="0"/>
        <v>0</v>
      </c>
      <c r="O15" s="3">
        <f t="shared" si="0"/>
        <v>0</v>
      </c>
      <c r="P15" s="3">
        <f t="shared" si="0"/>
        <v>0</v>
      </c>
      <c r="Q15" s="5">
        <f t="shared" si="2"/>
        <v>0</v>
      </c>
      <c r="R15">
        <f>Q15-G7</f>
        <v>-6</v>
      </c>
      <c r="S15" s="6">
        <f t="shared" si="3"/>
        <v>-6</v>
      </c>
      <c r="T15" t="e" cm="1">
        <f t="array" aca="1" ref="T15" ca="1">UNIRTEXTO(" + ",TRUE,IF(B15:P15=1,"x"&amp;COLUMN(B15:P15)-COLUMN($B$10)+1,""))&amp;" = "&amp;Q15</f>
        <v>#NAME?</v>
      </c>
    </row>
    <row r="16" spans="1:21" x14ac:dyDescent="0.2">
      <c r="A16" t="s">
        <v>808</v>
      </c>
      <c r="B16" s="3">
        <f t="shared" si="1"/>
        <v>0</v>
      </c>
      <c r="C16" s="3">
        <f t="shared" si="0"/>
        <v>1</v>
      </c>
      <c r="D16" s="3">
        <f t="shared" si="0"/>
        <v>1</v>
      </c>
      <c r="E16" s="3">
        <f t="shared" si="0"/>
        <v>1</v>
      </c>
      <c r="F16" s="3">
        <f t="shared" si="0"/>
        <v>0</v>
      </c>
      <c r="G16" s="3">
        <f t="shared" si="0"/>
        <v>1</v>
      </c>
      <c r="H16" s="3">
        <f t="shared" si="0"/>
        <v>1</v>
      </c>
      <c r="I16" s="3">
        <f t="shared" si="0"/>
        <v>0</v>
      </c>
      <c r="J16" s="3">
        <f t="shared" si="0"/>
        <v>0</v>
      </c>
      <c r="K16" s="3">
        <f t="shared" si="0"/>
        <v>0</v>
      </c>
      <c r="L16" s="3">
        <f t="shared" si="0"/>
        <v>0</v>
      </c>
      <c r="M16" s="3">
        <f t="shared" si="0"/>
        <v>0</v>
      </c>
      <c r="N16" s="3">
        <f t="shared" si="0"/>
        <v>0</v>
      </c>
      <c r="O16" s="3">
        <f t="shared" si="0"/>
        <v>0</v>
      </c>
      <c r="P16" s="3">
        <f t="shared" si="0"/>
        <v>0</v>
      </c>
      <c r="Q16" s="5">
        <f t="shared" si="2"/>
        <v>0</v>
      </c>
      <c r="R16">
        <f>Q16-H7</f>
        <v>-33</v>
      </c>
      <c r="S16" s="6">
        <f t="shared" si="3"/>
        <v>-33</v>
      </c>
      <c r="T16" t="e" cm="1">
        <f t="array" aca="1" ref="T16" ca="1">UNIRTEXTO(" + ",TRUE,IF(B16:P16=1,"x"&amp;COLUMN(B16:P16)-COLUMN($B$10)+1,""))&amp;" = "&amp;Q16</f>
        <v>#NAME?</v>
      </c>
    </row>
    <row r="17" spans="1:20" x14ac:dyDescent="0.2">
      <c r="A17" t="s">
        <v>809</v>
      </c>
      <c r="B17" s="3">
        <f t="shared" si="1"/>
        <v>0</v>
      </c>
      <c r="C17" s="3">
        <f t="shared" si="0"/>
        <v>0</v>
      </c>
      <c r="D17" s="3">
        <f t="shared" si="0"/>
        <v>1</v>
      </c>
      <c r="E17" s="3">
        <f t="shared" si="0"/>
        <v>1</v>
      </c>
      <c r="F17" s="3">
        <f t="shared" si="0"/>
        <v>0</v>
      </c>
      <c r="G17" s="3">
        <f t="shared" si="0"/>
        <v>0</v>
      </c>
      <c r="H17" s="3">
        <f t="shared" si="0"/>
        <v>1</v>
      </c>
      <c r="I17" s="3">
        <f t="shared" si="0"/>
        <v>0</v>
      </c>
      <c r="J17" s="3">
        <f t="shared" si="0"/>
        <v>0</v>
      </c>
      <c r="K17" s="3">
        <f t="shared" si="0"/>
        <v>0</v>
      </c>
      <c r="L17" s="3">
        <f t="shared" si="0"/>
        <v>0</v>
      </c>
      <c r="M17" s="3">
        <f t="shared" si="0"/>
        <v>0</v>
      </c>
      <c r="N17" s="3">
        <f t="shared" si="0"/>
        <v>0</v>
      </c>
      <c r="O17" s="3">
        <f t="shared" si="0"/>
        <v>0</v>
      </c>
      <c r="P17" s="3">
        <f t="shared" si="0"/>
        <v>0</v>
      </c>
      <c r="Q17" s="5">
        <f t="shared" si="2"/>
        <v>0</v>
      </c>
      <c r="R17">
        <f>Q17-I7</f>
        <v>-24</v>
      </c>
      <c r="S17" s="6">
        <f t="shared" si="3"/>
        <v>-24</v>
      </c>
      <c r="T17" t="e" cm="1">
        <f t="array" aca="1" ref="T17" ca="1">UNIRTEXTO(" + ",TRUE,IF(B17:P17=1,"x"&amp;COLUMN(B17:P17)-COLUMN($B$10)+1,""))&amp;" = "&amp;Q17</f>
        <v>#NAME?</v>
      </c>
    </row>
    <row r="18" spans="1:20" x14ac:dyDescent="0.2">
      <c r="A18" t="s">
        <v>810</v>
      </c>
      <c r="B18" s="3">
        <f t="shared" si="1"/>
        <v>0</v>
      </c>
      <c r="C18" s="3">
        <f t="shared" si="0"/>
        <v>1</v>
      </c>
      <c r="D18" s="3">
        <f t="shared" si="0"/>
        <v>0</v>
      </c>
      <c r="E18" s="3">
        <f t="shared" si="0"/>
        <v>1</v>
      </c>
      <c r="F18" s="3">
        <f t="shared" si="0"/>
        <v>1</v>
      </c>
      <c r="G18" s="3">
        <f t="shared" si="0"/>
        <v>1</v>
      </c>
      <c r="H18" s="3">
        <f t="shared" si="0"/>
        <v>0</v>
      </c>
      <c r="I18" s="3">
        <f t="shared" si="0"/>
        <v>0</v>
      </c>
      <c r="J18" s="3">
        <f t="shared" si="0"/>
        <v>0</v>
      </c>
      <c r="K18" s="3">
        <f t="shared" si="0"/>
        <v>0</v>
      </c>
      <c r="L18" s="3">
        <f t="shared" si="0"/>
        <v>0</v>
      </c>
      <c r="M18" s="3">
        <f t="shared" si="0"/>
        <v>0</v>
      </c>
      <c r="N18" s="3">
        <f t="shared" si="0"/>
        <v>0</v>
      </c>
      <c r="O18" s="3">
        <f t="shared" si="0"/>
        <v>0</v>
      </c>
      <c r="P18" s="3">
        <f t="shared" si="0"/>
        <v>0</v>
      </c>
      <c r="Q18" s="5">
        <f t="shared" si="2"/>
        <v>0</v>
      </c>
      <c r="R18">
        <f>Q18-J7</f>
        <v>-29</v>
      </c>
      <c r="S18" s="6">
        <f t="shared" si="3"/>
        <v>-29</v>
      </c>
      <c r="T18" t="e" cm="1">
        <f t="array" aca="1" ref="T18" ca="1">UNIRTEXTO(" + ",TRUE,IF(B18:P18=1,"x"&amp;COLUMN(B18:P18)-COLUMN($B$10)+1,""))&amp;" = "&amp;Q18</f>
        <v>#NAME?</v>
      </c>
    </row>
    <row r="19" spans="1:20" x14ac:dyDescent="0.2">
      <c r="A19" t="s">
        <v>811</v>
      </c>
      <c r="B19" s="3">
        <f t="shared" si="1"/>
        <v>0</v>
      </c>
      <c r="C19" s="3">
        <f t="shared" si="0"/>
        <v>0</v>
      </c>
      <c r="D19" s="3">
        <f t="shared" si="0"/>
        <v>0</v>
      </c>
      <c r="E19" s="3">
        <f t="shared" si="0"/>
        <v>0</v>
      </c>
      <c r="F19" s="3">
        <f t="shared" si="0"/>
        <v>0</v>
      </c>
      <c r="G19" s="3">
        <f t="shared" si="0"/>
        <v>0</v>
      </c>
      <c r="H19" s="3">
        <f t="shared" si="0"/>
        <v>0</v>
      </c>
      <c r="I19" s="3">
        <f t="shared" si="0"/>
        <v>0</v>
      </c>
      <c r="J19" s="3">
        <f t="shared" si="0"/>
        <v>0</v>
      </c>
      <c r="K19" s="3">
        <f t="shared" si="0"/>
        <v>0</v>
      </c>
      <c r="L19" s="3">
        <f t="shared" si="0"/>
        <v>0</v>
      </c>
      <c r="M19" s="3">
        <f t="shared" si="0"/>
        <v>0</v>
      </c>
      <c r="N19" s="3">
        <f t="shared" si="0"/>
        <v>0</v>
      </c>
      <c r="O19" s="3">
        <f t="shared" si="0"/>
        <v>0</v>
      </c>
      <c r="P19" s="3">
        <f t="shared" si="0"/>
        <v>0</v>
      </c>
      <c r="Q19" s="5">
        <f t="shared" si="2"/>
        <v>0</v>
      </c>
      <c r="S19" s="6">
        <f t="shared" si="3"/>
        <v>0</v>
      </c>
      <c r="T19" t="e" cm="1">
        <f t="array" aca="1" ref="T19" ca="1">UNIRTEXTO(" + ",TRUE,IF(B19:P19=1,"x"&amp;COLUMN(B19:P19)-COLUMN($B$10)+1,""))&amp;" = "&amp;Q19</f>
        <v>#NAME?</v>
      </c>
    </row>
    <row r="20" spans="1:20" x14ac:dyDescent="0.2">
      <c r="A20" t="s">
        <v>812</v>
      </c>
      <c r="B20" s="3">
        <f t="shared" si="1"/>
        <v>0</v>
      </c>
      <c r="C20" s="3">
        <f t="shared" si="0"/>
        <v>0</v>
      </c>
      <c r="D20" s="3">
        <f t="shared" si="0"/>
        <v>0</v>
      </c>
      <c r="E20" s="3">
        <f t="shared" si="0"/>
        <v>0</v>
      </c>
      <c r="F20" s="3">
        <f t="shared" si="0"/>
        <v>0</v>
      </c>
      <c r="G20" s="3">
        <f t="shared" si="0"/>
        <v>0</v>
      </c>
      <c r="H20" s="3">
        <f t="shared" si="0"/>
        <v>0</v>
      </c>
      <c r="I20" s="3">
        <f t="shared" si="0"/>
        <v>0</v>
      </c>
      <c r="J20" s="3">
        <f t="shared" si="0"/>
        <v>0</v>
      </c>
      <c r="K20" s="3">
        <f t="shared" si="0"/>
        <v>0</v>
      </c>
      <c r="L20" s="3">
        <f t="shared" si="0"/>
        <v>0</v>
      </c>
      <c r="M20" s="3">
        <f t="shared" si="0"/>
        <v>0</v>
      </c>
      <c r="N20" s="3">
        <f t="shared" si="0"/>
        <v>0</v>
      </c>
      <c r="O20" s="3">
        <f t="shared" si="0"/>
        <v>0</v>
      </c>
      <c r="P20" s="3">
        <f t="shared" si="0"/>
        <v>0</v>
      </c>
      <c r="Q20" s="5">
        <f t="shared" si="2"/>
        <v>0</v>
      </c>
      <c r="S20" s="6">
        <f t="shared" si="3"/>
        <v>0</v>
      </c>
      <c r="T20" t="e" cm="1">
        <f t="array" aca="1" ref="T20" ca="1">UNIRTEXTO(" + ",TRUE,IF(B20:P20=1,"x"&amp;COLUMN(B20:P20)-COLUMN($B$10)+1,""))&amp;" = "&amp;Q20</f>
        <v>#NAME?</v>
      </c>
    </row>
    <row r="21" spans="1:20" x14ac:dyDescent="0.2">
      <c r="A21" t="s">
        <v>813</v>
      </c>
      <c r="B21" s="3">
        <f t="shared" si="1"/>
        <v>0</v>
      </c>
      <c r="C21" s="3">
        <f t="shared" si="0"/>
        <v>0</v>
      </c>
      <c r="D21" s="3">
        <f t="shared" si="0"/>
        <v>0</v>
      </c>
      <c r="E21" s="3">
        <f t="shared" si="0"/>
        <v>0</v>
      </c>
      <c r="F21" s="3">
        <f t="shared" si="0"/>
        <v>0</v>
      </c>
      <c r="G21" s="3">
        <f t="shared" si="0"/>
        <v>0</v>
      </c>
      <c r="H21" s="3">
        <f t="shared" si="0"/>
        <v>0</v>
      </c>
      <c r="I21" s="3">
        <f t="shared" si="0"/>
        <v>0</v>
      </c>
      <c r="J21" s="3">
        <f t="shared" si="0"/>
        <v>0</v>
      </c>
      <c r="K21" s="3">
        <f t="shared" si="0"/>
        <v>0</v>
      </c>
      <c r="L21" s="3">
        <f t="shared" si="0"/>
        <v>0</v>
      </c>
      <c r="M21" s="3">
        <f t="shared" si="0"/>
        <v>0</v>
      </c>
      <c r="N21" s="3">
        <f t="shared" si="0"/>
        <v>0</v>
      </c>
      <c r="O21" s="3">
        <f t="shared" si="0"/>
        <v>0</v>
      </c>
      <c r="P21" s="3">
        <f t="shared" si="0"/>
        <v>0</v>
      </c>
      <c r="Q21" s="5">
        <f t="shared" si="2"/>
        <v>0</v>
      </c>
      <c r="S21" s="6">
        <f t="shared" si="3"/>
        <v>0</v>
      </c>
      <c r="T21" t="e" cm="1">
        <f t="array" aca="1" ref="T21" ca="1">UNIRTEXTO(" + ",TRUE,IF(B21:P21=1,"x"&amp;COLUMN(B21:P21)-COLUMN($B$10)+1,""))&amp;" = "&amp;Q21</f>
        <v>#NAME?</v>
      </c>
    </row>
    <row r="22" spans="1:20" x14ac:dyDescent="0.2">
      <c r="A22" t="s">
        <v>814</v>
      </c>
      <c r="B22" s="3">
        <f t="shared" si="1"/>
        <v>0</v>
      </c>
      <c r="C22" s="3">
        <f t="shared" si="0"/>
        <v>0</v>
      </c>
      <c r="D22" s="3">
        <f t="shared" si="0"/>
        <v>0</v>
      </c>
      <c r="E22" s="3">
        <f t="shared" si="0"/>
        <v>0</v>
      </c>
      <c r="F22" s="3">
        <f t="shared" si="0"/>
        <v>0</v>
      </c>
      <c r="G22" s="3">
        <f t="shared" si="0"/>
        <v>0</v>
      </c>
      <c r="H22" s="3">
        <f t="shared" si="0"/>
        <v>0</v>
      </c>
      <c r="I22" s="3">
        <f t="shared" si="0"/>
        <v>0</v>
      </c>
      <c r="J22" s="3">
        <f t="shared" si="0"/>
        <v>0</v>
      </c>
      <c r="K22" s="3">
        <f t="shared" si="0"/>
        <v>0</v>
      </c>
      <c r="L22" s="3">
        <f t="shared" si="0"/>
        <v>0</v>
      </c>
      <c r="M22" s="3">
        <f t="shared" si="0"/>
        <v>0</v>
      </c>
      <c r="N22" s="3">
        <f t="shared" si="0"/>
        <v>0</v>
      </c>
      <c r="O22" s="3">
        <f t="shared" si="0"/>
        <v>0</v>
      </c>
      <c r="P22" s="3">
        <f t="shared" si="0"/>
        <v>0</v>
      </c>
      <c r="Q22" s="5">
        <f t="shared" si="2"/>
        <v>0</v>
      </c>
      <c r="S22" s="6">
        <f t="shared" si="3"/>
        <v>0</v>
      </c>
      <c r="T22" t="e" cm="1">
        <f t="array" aca="1" ref="T22" ca="1">UNIRTEXTO(" + ",TRUE,IF(B22:P22=1,"x"&amp;COLUMN(B22:P22)-COLUMN($B$10)+1,""))&amp;" = "&amp;Q22</f>
        <v>#NAME?</v>
      </c>
    </row>
    <row r="23" spans="1:20" x14ac:dyDescent="0.2">
      <c r="A23" t="s">
        <v>815</v>
      </c>
      <c r="B23" s="3">
        <f t="shared" si="1"/>
        <v>0</v>
      </c>
      <c r="C23" s="3">
        <f t="shared" si="0"/>
        <v>0</v>
      </c>
      <c r="D23" s="3">
        <f t="shared" si="0"/>
        <v>0</v>
      </c>
      <c r="E23" s="3">
        <f t="shared" si="0"/>
        <v>0</v>
      </c>
      <c r="F23" s="3">
        <f t="shared" si="0"/>
        <v>0</v>
      </c>
      <c r="G23" s="3">
        <f t="shared" si="0"/>
        <v>0</v>
      </c>
      <c r="H23" s="3">
        <f t="shared" si="0"/>
        <v>0</v>
      </c>
      <c r="I23" s="3">
        <f t="shared" si="0"/>
        <v>0</v>
      </c>
      <c r="J23" s="3">
        <f t="shared" si="0"/>
        <v>0</v>
      </c>
      <c r="K23" s="3">
        <f t="shared" si="0"/>
        <v>0</v>
      </c>
      <c r="L23" s="3">
        <f t="shared" si="0"/>
        <v>0</v>
      </c>
      <c r="M23" s="3">
        <f t="shared" si="0"/>
        <v>0</v>
      </c>
      <c r="N23" s="3">
        <f t="shared" si="0"/>
        <v>0</v>
      </c>
      <c r="O23" s="3">
        <f t="shared" si="0"/>
        <v>0</v>
      </c>
      <c r="P23" s="3">
        <f t="shared" si="0"/>
        <v>0</v>
      </c>
      <c r="Q23" s="5">
        <f t="shared" si="2"/>
        <v>0</v>
      </c>
      <c r="S23" s="6">
        <f t="shared" si="3"/>
        <v>0</v>
      </c>
      <c r="T23" t="e" cm="1">
        <f t="array" aca="1" ref="T23" ca="1">UNIRTEXTO(" + ",TRUE,IF(B23:P23=1,"x"&amp;COLUMN(B23:P23)-COLUMN($B$10)+1,""))&amp;" = "&amp;Q23</f>
        <v>#NAME?</v>
      </c>
    </row>
    <row r="24" spans="1:20" x14ac:dyDescent="0.2">
      <c r="A24" t="s">
        <v>816</v>
      </c>
      <c r="B24" s="3">
        <f t="shared" si="1"/>
        <v>0</v>
      </c>
      <c r="C24" s="3">
        <f t="shared" si="0"/>
        <v>0</v>
      </c>
      <c r="D24" s="3">
        <f t="shared" si="0"/>
        <v>0</v>
      </c>
      <c r="E24" s="3">
        <f t="shared" si="0"/>
        <v>0</v>
      </c>
      <c r="F24" s="3">
        <f t="shared" si="0"/>
        <v>0</v>
      </c>
      <c r="G24" s="3">
        <f t="shared" si="0"/>
        <v>0</v>
      </c>
      <c r="H24" s="3">
        <f t="shared" si="0"/>
        <v>0</v>
      </c>
      <c r="I24" s="3">
        <f t="shared" si="0"/>
        <v>0</v>
      </c>
      <c r="J24" s="3">
        <f t="shared" si="0"/>
        <v>0</v>
      </c>
      <c r="K24" s="3">
        <f t="shared" si="0"/>
        <v>0</v>
      </c>
      <c r="L24" s="3">
        <f t="shared" si="0"/>
        <v>0</v>
      </c>
      <c r="M24" s="3">
        <f t="shared" si="0"/>
        <v>0</v>
      </c>
      <c r="N24" s="3">
        <f t="shared" si="0"/>
        <v>0</v>
      </c>
      <c r="O24" s="3">
        <f t="shared" si="0"/>
        <v>0</v>
      </c>
      <c r="P24" s="3">
        <f t="shared" si="0"/>
        <v>0</v>
      </c>
      <c r="Q24" s="5">
        <f t="shared" si="2"/>
        <v>0</v>
      </c>
      <c r="S24" s="6">
        <f t="shared" si="3"/>
        <v>0</v>
      </c>
      <c r="T24" t="e" cm="1">
        <f t="array" aca="1" ref="T24" ca="1">UNIRTEXTO(" + ",TRUE,IF(B24:P24=1,"x"&amp;COLUMN(B24:P24)-COLUMN($B$10)+1,""))&amp;" = "&amp;Q24</f>
        <v>#NAME?</v>
      </c>
    </row>
    <row r="25" spans="1:20" x14ac:dyDescent="0.2">
      <c r="A25" t="s">
        <v>817</v>
      </c>
      <c r="B25" s="3">
        <f t="shared" si="1"/>
        <v>0</v>
      </c>
      <c r="C25" s="3">
        <f t="shared" si="0"/>
        <v>0</v>
      </c>
      <c r="D25" s="3">
        <f t="shared" si="0"/>
        <v>0</v>
      </c>
      <c r="E25" s="3">
        <f t="shared" si="0"/>
        <v>0</v>
      </c>
      <c r="F25" s="3">
        <f t="shared" si="0"/>
        <v>0</v>
      </c>
      <c r="G25" s="3">
        <f t="shared" si="0"/>
        <v>0</v>
      </c>
      <c r="H25" s="3">
        <f t="shared" si="0"/>
        <v>0</v>
      </c>
      <c r="I25" s="3">
        <f t="shared" si="0"/>
        <v>0</v>
      </c>
      <c r="J25" s="3">
        <f t="shared" si="0"/>
        <v>0</v>
      </c>
      <c r="K25" s="3">
        <f t="shared" si="0"/>
        <v>0</v>
      </c>
      <c r="L25" s="3">
        <f t="shared" si="0"/>
        <v>0</v>
      </c>
      <c r="M25" s="3">
        <f t="shared" si="0"/>
        <v>0</v>
      </c>
      <c r="N25" s="3">
        <f t="shared" si="0"/>
        <v>0</v>
      </c>
      <c r="O25" s="3">
        <f t="shared" si="0"/>
        <v>0</v>
      </c>
      <c r="P25" s="3">
        <f t="shared" si="0"/>
        <v>0</v>
      </c>
      <c r="Q25" s="5">
        <f t="shared" si="2"/>
        <v>0</v>
      </c>
      <c r="S25" s="6">
        <f t="shared" si="3"/>
        <v>0</v>
      </c>
      <c r="T25" t="e" cm="1">
        <f t="array" aca="1" ref="T25" ca="1">UNIRTEXTO(" + ",TRUE,IF(B25:P25=1,"x"&amp;COLUMN(B25:P25)-COLUMN($B$10)+1,""))&amp;" = "&amp;Q25</f>
        <v>#NAME?</v>
      </c>
    </row>
    <row r="26" spans="1:20" x14ac:dyDescent="0.2">
      <c r="A26" t="s">
        <v>818</v>
      </c>
      <c r="B26" s="3">
        <f t="shared" si="1"/>
        <v>0</v>
      </c>
      <c r="C26" s="3">
        <f t="shared" si="1"/>
        <v>0</v>
      </c>
      <c r="D26" s="3">
        <f t="shared" si="1"/>
        <v>0</v>
      </c>
      <c r="E26" s="3">
        <f t="shared" si="1"/>
        <v>0</v>
      </c>
      <c r="F26" s="3">
        <f t="shared" si="1"/>
        <v>0</v>
      </c>
      <c r="G26" s="3">
        <f t="shared" si="1"/>
        <v>0</v>
      </c>
      <c r="H26" s="3">
        <f t="shared" si="1"/>
        <v>0</v>
      </c>
      <c r="I26" s="3">
        <f t="shared" si="1"/>
        <v>0</v>
      </c>
      <c r="J26" s="3">
        <f t="shared" si="1"/>
        <v>0</v>
      </c>
      <c r="K26" s="3">
        <f t="shared" si="1"/>
        <v>0</v>
      </c>
      <c r="L26" s="3">
        <f t="shared" si="1"/>
        <v>0</v>
      </c>
      <c r="M26" s="3">
        <f t="shared" si="1"/>
        <v>0</v>
      </c>
      <c r="N26" s="3">
        <f t="shared" si="1"/>
        <v>0</v>
      </c>
      <c r="O26" s="3">
        <f t="shared" si="1"/>
        <v>0</v>
      </c>
      <c r="P26" s="3">
        <f t="shared" si="1"/>
        <v>0</v>
      </c>
      <c r="Q26" s="5">
        <f t="shared" si="2"/>
        <v>0</v>
      </c>
      <c r="S26" s="6">
        <f t="shared" si="3"/>
        <v>0</v>
      </c>
      <c r="T26" t="e" cm="1">
        <f t="array" aca="1" ref="T26" ca="1">UNIRTEXTO(" + ",TRUE,IF(B26:P26=1,"x"&amp;COLUMN(B26:P26)-COLUMN($B$10)+1,""))&amp;" = "&amp;Q26</f>
        <v>#NAME?</v>
      </c>
    </row>
    <row r="27" spans="1:20" x14ac:dyDescent="0.2">
      <c r="A27" t="s">
        <v>819</v>
      </c>
      <c r="B27" s="3">
        <f t="shared" si="1"/>
        <v>0</v>
      </c>
      <c r="C27" s="3">
        <f t="shared" si="1"/>
        <v>0</v>
      </c>
      <c r="D27" s="3">
        <f t="shared" si="1"/>
        <v>0</v>
      </c>
      <c r="E27" s="3">
        <f t="shared" si="1"/>
        <v>0</v>
      </c>
      <c r="F27" s="3">
        <f t="shared" si="1"/>
        <v>0</v>
      </c>
      <c r="G27" s="3">
        <f t="shared" si="1"/>
        <v>0</v>
      </c>
      <c r="H27" s="3">
        <f t="shared" si="1"/>
        <v>0</v>
      </c>
      <c r="I27" s="3">
        <f t="shared" si="1"/>
        <v>0</v>
      </c>
      <c r="J27" s="3">
        <f t="shared" si="1"/>
        <v>0</v>
      </c>
      <c r="K27" s="3">
        <f t="shared" si="1"/>
        <v>0</v>
      </c>
      <c r="L27" s="3">
        <f t="shared" si="1"/>
        <v>0</v>
      </c>
      <c r="M27" s="3">
        <f t="shared" si="1"/>
        <v>0</v>
      </c>
      <c r="N27" s="3">
        <f t="shared" si="1"/>
        <v>0</v>
      </c>
      <c r="O27" s="3">
        <f t="shared" si="1"/>
        <v>0</v>
      </c>
      <c r="P27" s="3">
        <f t="shared" si="1"/>
        <v>0</v>
      </c>
      <c r="Q27" s="5">
        <f t="shared" si="2"/>
        <v>0</v>
      </c>
      <c r="S27" s="6">
        <f t="shared" si="3"/>
        <v>0</v>
      </c>
      <c r="T27" t="e" cm="1">
        <f t="array" aca="1" ref="T27" ca="1">UNIRTEXTO(" + ",TRUE,IF(B27:P27=1,"x"&amp;COLUMN(B27:P27)-COLUMN($B$10)+1,""))&amp;" = "&amp;Q27</f>
        <v>#NAME?</v>
      </c>
    </row>
    <row r="28" spans="1:20" x14ac:dyDescent="0.2">
      <c r="A28" t="s">
        <v>820</v>
      </c>
      <c r="B28" s="3">
        <f t="shared" si="1"/>
        <v>0</v>
      </c>
      <c r="C28" s="3">
        <f t="shared" si="1"/>
        <v>0</v>
      </c>
      <c r="D28" s="3">
        <f t="shared" si="1"/>
        <v>0</v>
      </c>
      <c r="E28" s="3">
        <f t="shared" si="1"/>
        <v>0</v>
      </c>
      <c r="F28" s="3">
        <f t="shared" si="1"/>
        <v>0</v>
      </c>
      <c r="G28" s="3">
        <f t="shared" si="1"/>
        <v>0</v>
      </c>
      <c r="H28" s="3">
        <f t="shared" si="1"/>
        <v>0</v>
      </c>
      <c r="I28" s="3">
        <f t="shared" si="1"/>
        <v>0</v>
      </c>
      <c r="J28" s="3">
        <f t="shared" si="1"/>
        <v>0</v>
      </c>
      <c r="K28" s="3">
        <f t="shared" si="1"/>
        <v>0</v>
      </c>
      <c r="L28" s="3">
        <f t="shared" si="1"/>
        <v>0</v>
      </c>
      <c r="M28" s="3">
        <f t="shared" si="1"/>
        <v>0</v>
      </c>
      <c r="N28" s="3">
        <f t="shared" si="1"/>
        <v>0</v>
      </c>
      <c r="O28" s="3">
        <f t="shared" si="1"/>
        <v>0</v>
      </c>
      <c r="P28" s="3">
        <f t="shared" si="1"/>
        <v>0</v>
      </c>
      <c r="Q28" s="5">
        <f t="shared" si="2"/>
        <v>0</v>
      </c>
      <c r="S28" s="6">
        <f t="shared" si="3"/>
        <v>0</v>
      </c>
      <c r="T28" t="e" cm="1">
        <f t="array" aca="1" ref="T28" ca="1">UNIRTEXTO(" + ",TRUE,IF(B28:P28=1,"x"&amp;COLUMN(B28:P28)-COLUMN($B$10)+1,""))&amp;" = "&amp;Q28</f>
        <v>#NAME?</v>
      </c>
    </row>
    <row r="29" spans="1:20" x14ac:dyDescent="0.2">
      <c r="A29" t="s">
        <v>821</v>
      </c>
      <c r="B29" s="3">
        <f t="shared" si="1"/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0</v>
      </c>
      <c r="N29" s="3">
        <f t="shared" si="1"/>
        <v>0</v>
      </c>
      <c r="O29" s="3">
        <f t="shared" si="1"/>
        <v>0</v>
      </c>
      <c r="P29" s="3">
        <f t="shared" si="1"/>
        <v>0</v>
      </c>
      <c r="Q29" s="5">
        <f t="shared" si="2"/>
        <v>0</v>
      </c>
      <c r="S29" s="6">
        <f t="shared" si="3"/>
        <v>0</v>
      </c>
      <c r="T29" t="e" cm="1">
        <f t="array" aca="1" ref="T29" ca="1">UNIRTEXTO(" + ",TRUE,IF(B29:P29=1,"x"&amp;COLUMN(B29:P29)-COLUMN($B$10)+1,""))&amp;" = "&amp;Q29</f>
        <v>#NAME?</v>
      </c>
    </row>
    <row r="32" spans="1:20" x14ac:dyDescent="0.2">
      <c r="B32" t="s">
        <v>822</v>
      </c>
      <c r="C32" t="s">
        <v>823</v>
      </c>
      <c r="D32" t="s">
        <v>824</v>
      </c>
      <c r="E32" t="s">
        <v>825</v>
      </c>
      <c r="F32" t="s">
        <v>826</v>
      </c>
      <c r="G32" t="s">
        <v>827</v>
      </c>
      <c r="H32" t="s">
        <v>828</v>
      </c>
      <c r="I32" t="s">
        <v>829</v>
      </c>
      <c r="J32" t="s">
        <v>830</v>
      </c>
      <c r="K32" t="s">
        <v>831</v>
      </c>
      <c r="L32" t="s">
        <v>832</v>
      </c>
      <c r="M32" t="s">
        <v>833</v>
      </c>
      <c r="N32" t="s">
        <v>834</v>
      </c>
      <c r="O32" t="s">
        <v>835</v>
      </c>
      <c r="P32" t="s">
        <v>836</v>
      </c>
    </row>
    <row r="33" spans="2:16" x14ac:dyDescent="0.2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5" spans="2:16" x14ac:dyDescent="0.2">
      <c r="B35" t="e">
        <f>SUMPRODUCT(B$10:B$29, $B$32)</f>
        <v>#VALUE!</v>
      </c>
      <c r="C35" t="e">
        <f>B35 = B6</f>
        <v>#VALUE!</v>
      </c>
    </row>
    <row r="36" spans="2:16" x14ac:dyDescent="0.2">
      <c r="B36">
        <f t="shared" ref="B36:B54" si="4">SUMPRODUCT(B11:P11, B33:P33)</f>
        <v>0</v>
      </c>
      <c r="C36" t="b">
        <f t="shared" ref="C36:C54" si="5">B36 = B7</f>
        <v>0</v>
      </c>
      <c r="F36" s="2"/>
    </row>
    <row r="37" spans="2:16" x14ac:dyDescent="0.2">
      <c r="B37">
        <f t="shared" si="4"/>
        <v>0</v>
      </c>
      <c r="C37" t="b">
        <f t="shared" si="5"/>
        <v>1</v>
      </c>
    </row>
    <row r="38" spans="2:16" x14ac:dyDescent="0.2">
      <c r="B38" t="e">
        <f t="shared" si="4"/>
        <v>#VALUE!</v>
      </c>
      <c r="C38" t="e">
        <f t="shared" si="5"/>
        <v>#VALUE!</v>
      </c>
    </row>
    <row r="39" spans="2:16" x14ac:dyDescent="0.2">
      <c r="B39">
        <f t="shared" si="4"/>
        <v>0</v>
      </c>
      <c r="C39" t="b">
        <f t="shared" si="5"/>
        <v>1</v>
      </c>
      <c r="I39">
        <f>SUM($B$33:$P$33)</f>
        <v>0</v>
      </c>
    </row>
    <row r="40" spans="2:16" x14ac:dyDescent="0.2">
      <c r="B40">
        <f t="shared" si="4"/>
        <v>0</v>
      </c>
      <c r="C40" t="b">
        <f t="shared" si="5"/>
        <v>1</v>
      </c>
      <c r="I40" cm="1">
        <f t="array" ref="I40">MAX(ABS($S$5:$S$24))</f>
        <v>38</v>
      </c>
    </row>
    <row r="41" spans="2:16" x14ac:dyDescent="0.2">
      <c r="B41" t="e">
        <f t="shared" si="4"/>
        <v>#VALUE!</v>
      </c>
      <c r="C41" t="e">
        <f t="shared" si="5"/>
        <v>#VALUE!</v>
      </c>
    </row>
    <row r="42" spans="2:16" x14ac:dyDescent="0.2">
      <c r="B42">
        <f t="shared" si="4"/>
        <v>0</v>
      </c>
      <c r="C42" t="b">
        <f t="shared" si="5"/>
        <v>1</v>
      </c>
    </row>
    <row r="43" spans="2:16" x14ac:dyDescent="0.2">
      <c r="B43">
        <f t="shared" si="4"/>
        <v>0</v>
      </c>
      <c r="C43" t="b">
        <f t="shared" si="5"/>
        <v>0</v>
      </c>
    </row>
    <row r="44" spans="2:16" x14ac:dyDescent="0.2">
      <c r="B44" t="e">
        <f t="shared" si="4"/>
        <v>#VALUE!</v>
      </c>
      <c r="C44" t="e">
        <f t="shared" si="5"/>
        <v>#VALUE!</v>
      </c>
    </row>
    <row r="45" spans="2:16" x14ac:dyDescent="0.2">
      <c r="B45">
        <f t="shared" si="4"/>
        <v>0</v>
      </c>
      <c r="C45" t="b">
        <f t="shared" si="5"/>
        <v>1</v>
      </c>
    </row>
    <row r="46" spans="2:16" x14ac:dyDescent="0.2">
      <c r="B46">
        <f t="shared" si="4"/>
        <v>0</v>
      </c>
      <c r="C46" t="b">
        <f t="shared" si="5"/>
        <v>1</v>
      </c>
    </row>
    <row r="47" spans="2:16" x14ac:dyDescent="0.2">
      <c r="B47" t="e">
        <f t="shared" si="4"/>
        <v>#VALUE!</v>
      </c>
      <c r="C47" t="e">
        <f t="shared" si="5"/>
        <v>#VALUE!</v>
      </c>
    </row>
    <row r="48" spans="2:16" x14ac:dyDescent="0.2">
      <c r="B48">
        <f t="shared" si="4"/>
        <v>0</v>
      </c>
      <c r="C48" t="b">
        <f t="shared" si="5"/>
        <v>1</v>
      </c>
    </row>
    <row r="49" spans="2:3" x14ac:dyDescent="0.2">
      <c r="B49">
        <f t="shared" si="4"/>
        <v>0</v>
      </c>
      <c r="C49" t="b">
        <f t="shared" si="5"/>
        <v>1</v>
      </c>
    </row>
    <row r="50" spans="2:3" x14ac:dyDescent="0.2">
      <c r="B50" t="e">
        <f t="shared" si="4"/>
        <v>#VALUE!</v>
      </c>
      <c r="C50" t="e">
        <f t="shared" si="5"/>
        <v>#VALUE!</v>
      </c>
    </row>
    <row r="51" spans="2:3" x14ac:dyDescent="0.2">
      <c r="B51">
        <f t="shared" si="4"/>
        <v>0</v>
      </c>
      <c r="C51" t="b">
        <f t="shared" si="5"/>
        <v>1</v>
      </c>
    </row>
    <row r="52" spans="2:3" x14ac:dyDescent="0.2">
      <c r="B52">
        <f t="shared" si="4"/>
        <v>0</v>
      </c>
      <c r="C52" t="b">
        <f t="shared" si="5"/>
        <v>1</v>
      </c>
    </row>
    <row r="53" spans="2:3" x14ac:dyDescent="0.2">
      <c r="B53" t="e">
        <f t="shared" si="4"/>
        <v>#VALUE!</v>
      </c>
      <c r="C53" t="e">
        <f t="shared" si="5"/>
        <v>#VALUE!</v>
      </c>
    </row>
    <row r="54" spans="2:3" x14ac:dyDescent="0.2">
      <c r="B54">
        <f t="shared" si="4"/>
        <v>0</v>
      </c>
      <c r="C54" t="b">
        <f t="shared" si="5"/>
        <v>1</v>
      </c>
    </row>
    <row r="60" spans="2:3" x14ac:dyDescent="0.2">
      <c r="C60">
        <f>SUM(B32:P32)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3FC9-4220-3E40-AFD6-17AE1DA33B0F}">
  <dimension ref="A1:A153"/>
  <sheetViews>
    <sheetView workbookViewId="0">
      <selection activeCell="G1" sqref="G1"/>
    </sheetView>
  </sheetViews>
  <sheetFormatPr baseColWidth="10" defaultRowHeight="16" x14ac:dyDescent="0.2"/>
  <sheetData>
    <row r="1" spans="1:1" x14ac:dyDescent="0.2">
      <c r="A1" t="s">
        <v>155</v>
      </c>
    </row>
    <row r="2" spans="1:1" x14ac:dyDescent="0.2">
      <c r="A2" t="s">
        <v>156</v>
      </c>
    </row>
    <row r="3" spans="1:1" x14ac:dyDescent="0.2">
      <c r="A3" t="s">
        <v>157</v>
      </c>
    </row>
    <row r="4" spans="1:1" x14ac:dyDescent="0.2">
      <c r="A4" t="s">
        <v>158</v>
      </c>
    </row>
    <row r="5" spans="1:1" x14ac:dyDescent="0.2">
      <c r="A5" t="s">
        <v>159</v>
      </c>
    </row>
    <row r="6" spans="1:1" x14ac:dyDescent="0.2">
      <c r="A6" t="s">
        <v>160</v>
      </c>
    </row>
    <row r="7" spans="1:1" x14ac:dyDescent="0.2">
      <c r="A7" t="s">
        <v>161</v>
      </c>
    </row>
    <row r="8" spans="1:1" x14ac:dyDescent="0.2">
      <c r="A8" t="s">
        <v>162</v>
      </c>
    </row>
    <row r="9" spans="1:1" x14ac:dyDescent="0.2">
      <c r="A9" t="s">
        <v>163</v>
      </c>
    </row>
    <row r="10" spans="1:1" x14ac:dyDescent="0.2">
      <c r="A10" t="s">
        <v>164</v>
      </c>
    </row>
    <row r="11" spans="1:1" x14ac:dyDescent="0.2">
      <c r="A11" t="s">
        <v>165</v>
      </c>
    </row>
    <row r="12" spans="1:1" x14ac:dyDescent="0.2">
      <c r="A12" t="s">
        <v>166</v>
      </c>
    </row>
    <row r="13" spans="1:1" x14ac:dyDescent="0.2">
      <c r="A13" t="s">
        <v>167</v>
      </c>
    </row>
    <row r="14" spans="1:1" x14ac:dyDescent="0.2">
      <c r="A14" t="s">
        <v>168</v>
      </c>
    </row>
    <row r="15" spans="1:1" x14ac:dyDescent="0.2">
      <c r="A15" t="s">
        <v>169</v>
      </c>
    </row>
    <row r="16" spans="1:1" x14ac:dyDescent="0.2">
      <c r="A16" t="s">
        <v>170</v>
      </c>
    </row>
    <row r="17" spans="1:1" x14ac:dyDescent="0.2">
      <c r="A17" t="s">
        <v>171</v>
      </c>
    </row>
    <row r="18" spans="1:1" x14ac:dyDescent="0.2">
      <c r="A18" t="s">
        <v>172</v>
      </c>
    </row>
    <row r="19" spans="1:1" x14ac:dyDescent="0.2">
      <c r="A19" t="s">
        <v>173</v>
      </c>
    </row>
    <row r="20" spans="1:1" x14ac:dyDescent="0.2">
      <c r="A20" t="s">
        <v>174</v>
      </c>
    </row>
    <row r="21" spans="1:1" x14ac:dyDescent="0.2">
      <c r="A21" t="s">
        <v>175</v>
      </c>
    </row>
    <row r="22" spans="1:1" x14ac:dyDescent="0.2">
      <c r="A22" t="s">
        <v>176</v>
      </c>
    </row>
    <row r="23" spans="1:1" x14ac:dyDescent="0.2">
      <c r="A23" t="s">
        <v>177</v>
      </c>
    </row>
    <row r="24" spans="1:1" x14ac:dyDescent="0.2">
      <c r="A24" t="s">
        <v>178</v>
      </c>
    </row>
    <row r="25" spans="1:1" x14ac:dyDescent="0.2">
      <c r="A25" t="s">
        <v>179</v>
      </c>
    </row>
    <row r="26" spans="1:1" x14ac:dyDescent="0.2">
      <c r="A26" t="s">
        <v>180</v>
      </c>
    </row>
    <row r="27" spans="1:1" x14ac:dyDescent="0.2">
      <c r="A27" t="s">
        <v>181</v>
      </c>
    </row>
    <row r="28" spans="1:1" x14ac:dyDescent="0.2">
      <c r="A28" t="s">
        <v>182</v>
      </c>
    </row>
    <row r="29" spans="1:1" x14ac:dyDescent="0.2">
      <c r="A29" t="s">
        <v>183</v>
      </c>
    </row>
    <row r="30" spans="1:1" x14ac:dyDescent="0.2">
      <c r="A30" t="s">
        <v>184</v>
      </c>
    </row>
    <row r="31" spans="1:1" x14ac:dyDescent="0.2">
      <c r="A31" t="s">
        <v>185</v>
      </c>
    </row>
    <row r="32" spans="1:1" x14ac:dyDescent="0.2">
      <c r="A32" t="s">
        <v>186</v>
      </c>
    </row>
    <row r="33" spans="1:1" x14ac:dyDescent="0.2">
      <c r="A33" t="s">
        <v>187</v>
      </c>
    </row>
    <row r="34" spans="1:1" x14ac:dyDescent="0.2">
      <c r="A34" t="s">
        <v>188</v>
      </c>
    </row>
    <row r="35" spans="1:1" x14ac:dyDescent="0.2">
      <c r="A35" t="s">
        <v>189</v>
      </c>
    </row>
    <row r="36" spans="1:1" x14ac:dyDescent="0.2">
      <c r="A36" t="s">
        <v>190</v>
      </c>
    </row>
    <row r="37" spans="1:1" x14ac:dyDescent="0.2">
      <c r="A37" t="s">
        <v>191</v>
      </c>
    </row>
    <row r="38" spans="1:1" x14ac:dyDescent="0.2">
      <c r="A38" t="s">
        <v>192</v>
      </c>
    </row>
    <row r="39" spans="1:1" x14ac:dyDescent="0.2">
      <c r="A39" t="s">
        <v>193</v>
      </c>
    </row>
    <row r="40" spans="1:1" x14ac:dyDescent="0.2">
      <c r="A40" t="s">
        <v>194</v>
      </c>
    </row>
    <row r="41" spans="1:1" x14ac:dyDescent="0.2">
      <c r="A41" t="s">
        <v>195</v>
      </c>
    </row>
    <row r="42" spans="1:1" x14ac:dyDescent="0.2">
      <c r="A42" t="s">
        <v>196</v>
      </c>
    </row>
    <row r="43" spans="1:1" x14ac:dyDescent="0.2">
      <c r="A43" t="s">
        <v>197</v>
      </c>
    </row>
    <row r="44" spans="1:1" x14ac:dyDescent="0.2">
      <c r="A44" t="s">
        <v>198</v>
      </c>
    </row>
    <row r="45" spans="1:1" x14ac:dyDescent="0.2">
      <c r="A45" t="s">
        <v>199</v>
      </c>
    </row>
    <row r="46" spans="1:1" x14ac:dyDescent="0.2">
      <c r="A46" t="s">
        <v>200</v>
      </c>
    </row>
    <row r="47" spans="1:1" x14ac:dyDescent="0.2">
      <c r="A47" t="s">
        <v>201</v>
      </c>
    </row>
    <row r="48" spans="1:1" x14ac:dyDescent="0.2">
      <c r="A48" t="s">
        <v>202</v>
      </c>
    </row>
    <row r="49" spans="1:1" x14ac:dyDescent="0.2">
      <c r="A49" t="s">
        <v>203</v>
      </c>
    </row>
    <row r="50" spans="1:1" x14ac:dyDescent="0.2">
      <c r="A50" t="s">
        <v>204</v>
      </c>
    </row>
    <row r="51" spans="1:1" x14ac:dyDescent="0.2">
      <c r="A51" t="s">
        <v>205</v>
      </c>
    </row>
    <row r="52" spans="1:1" x14ac:dyDescent="0.2">
      <c r="A52" t="s">
        <v>206</v>
      </c>
    </row>
    <row r="53" spans="1:1" x14ac:dyDescent="0.2">
      <c r="A53" t="s">
        <v>207</v>
      </c>
    </row>
    <row r="54" spans="1:1" x14ac:dyDescent="0.2">
      <c r="A54" t="s">
        <v>208</v>
      </c>
    </row>
    <row r="55" spans="1:1" x14ac:dyDescent="0.2">
      <c r="A55" t="s">
        <v>209</v>
      </c>
    </row>
    <row r="56" spans="1:1" x14ac:dyDescent="0.2">
      <c r="A56" t="s">
        <v>210</v>
      </c>
    </row>
    <row r="57" spans="1:1" x14ac:dyDescent="0.2">
      <c r="A57" t="s">
        <v>211</v>
      </c>
    </row>
    <row r="58" spans="1:1" x14ac:dyDescent="0.2">
      <c r="A58" t="s">
        <v>212</v>
      </c>
    </row>
    <row r="59" spans="1:1" x14ac:dyDescent="0.2">
      <c r="A59" t="s">
        <v>213</v>
      </c>
    </row>
    <row r="60" spans="1:1" x14ac:dyDescent="0.2">
      <c r="A60" t="s">
        <v>214</v>
      </c>
    </row>
    <row r="61" spans="1:1" x14ac:dyDescent="0.2">
      <c r="A61" t="s">
        <v>215</v>
      </c>
    </row>
    <row r="62" spans="1:1" x14ac:dyDescent="0.2">
      <c r="A62" t="s">
        <v>216</v>
      </c>
    </row>
    <row r="63" spans="1:1" x14ac:dyDescent="0.2">
      <c r="A63" t="s">
        <v>217</v>
      </c>
    </row>
    <row r="64" spans="1:1" x14ac:dyDescent="0.2">
      <c r="A64" t="s">
        <v>218</v>
      </c>
    </row>
    <row r="65" spans="1:1" x14ac:dyDescent="0.2">
      <c r="A65" t="s">
        <v>219</v>
      </c>
    </row>
    <row r="66" spans="1:1" x14ac:dyDescent="0.2">
      <c r="A66" t="s">
        <v>220</v>
      </c>
    </row>
    <row r="67" spans="1:1" x14ac:dyDescent="0.2">
      <c r="A67" t="s">
        <v>221</v>
      </c>
    </row>
    <row r="68" spans="1:1" x14ac:dyDescent="0.2">
      <c r="A68" t="s">
        <v>222</v>
      </c>
    </row>
    <row r="69" spans="1:1" x14ac:dyDescent="0.2">
      <c r="A69" t="s">
        <v>223</v>
      </c>
    </row>
    <row r="70" spans="1:1" x14ac:dyDescent="0.2">
      <c r="A70" t="s">
        <v>224</v>
      </c>
    </row>
    <row r="71" spans="1:1" x14ac:dyDescent="0.2">
      <c r="A71" t="s">
        <v>225</v>
      </c>
    </row>
    <row r="72" spans="1:1" x14ac:dyDescent="0.2">
      <c r="A72" t="s">
        <v>226</v>
      </c>
    </row>
    <row r="73" spans="1:1" x14ac:dyDescent="0.2">
      <c r="A73" t="s">
        <v>227</v>
      </c>
    </row>
    <row r="74" spans="1:1" x14ac:dyDescent="0.2">
      <c r="A74" t="s">
        <v>228</v>
      </c>
    </row>
    <row r="75" spans="1:1" x14ac:dyDescent="0.2">
      <c r="A75" t="s">
        <v>229</v>
      </c>
    </row>
    <row r="76" spans="1:1" x14ac:dyDescent="0.2">
      <c r="A76" t="s">
        <v>230</v>
      </c>
    </row>
    <row r="77" spans="1:1" x14ac:dyDescent="0.2">
      <c r="A77" t="s">
        <v>231</v>
      </c>
    </row>
    <row r="78" spans="1:1" x14ac:dyDescent="0.2">
      <c r="A78" t="s">
        <v>232</v>
      </c>
    </row>
    <row r="79" spans="1:1" x14ac:dyDescent="0.2">
      <c r="A79" t="s">
        <v>233</v>
      </c>
    </row>
    <row r="80" spans="1:1" x14ac:dyDescent="0.2">
      <c r="A80" t="s">
        <v>234</v>
      </c>
    </row>
    <row r="81" spans="1:1" x14ac:dyDescent="0.2">
      <c r="A81" t="s">
        <v>235</v>
      </c>
    </row>
    <row r="82" spans="1:1" x14ac:dyDescent="0.2">
      <c r="A82" t="s">
        <v>236</v>
      </c>
    </row>
    <row r="83" spans="1:1" x14ac:dyDescent="0.2">
      <c r="A83" t="s">
        <v>237</v>
      </c>
    </row>
    <row r="84" spans="1:1" x14ac:dyDescent="0.2">
      <c r="A84" t="s">
        <v>238</v>
      </c>
    </row>
    <row r="85" spans="1:1" x14ac:dyDescent="0.2">
      <c r="A85" t="s">
        <v>239</v>
      </c>
    </row>
    <row r="86" spans="1:1" x14ac:dyDescent="0.2">
      <c r="A86" t="s">
        <v>240</v>
      </c>
    </row>
    <row r="87" spans="1:1" x14ac:dyDescent="0.2">
      <c r="A87" t="s">
        <v>241</v>
      </c>
    </row>
    <row r="88" spans="1:1" x14ac:dyDescent="0.2">
      <c r="A88" t="s">
        <v>242</v>
      </c>
    </row>
    <row r="89" spans="1:1" x14ac:dyDescent="0.2">
      <c r="A89" t="s">
        <v>243</v>
      </c>
    </row>
    <row r="90" spans="1:1" x14ac:dyDescent="0.2">
      <c r="A90" t="s">
        <v>244</v>
      </c>
    </row>
    <row r="91" spans="1:1" x14ac:dyDescent="0.2">
      <c r="A91" t="s">
        <v>245</v>
      </c>
    </row>
    <row r="92" spans="1:1" x14ac:dyDescent="0.2">
      <c r="A92" t="s">
        <v>246</v>
      </c>
    </row>
    <row r="93" spans="1:1" x14ac:dyDescent="0.2">
      <c r="A93" t="s">
        <v>247</v>
      </c>
    </row>
    <row r="94" spans="1:1" x14ac:dyDescent="0.2">
      <c r="A94" t="s">
        <v>248</v>
      </c>
    </row>
    <row r="95" spans="1:1" x14ac:dyDescent="0.2">
      <c r="A95" t="s">
        <v>249</v>
      </c>
    </row>
    <row r="96" spans="1:1" x14ac:dyDescent="0.2">
      <c r="A96" t="s">
        <v>250</v>
      </c>
    </row>
    <row r="97" spans="1:1" x14ac:dyDescent="0.2">
      <c r="A97" t="s">
        <v>251</v>
      </c>
    </row>
    <row r="98" spans="1:1" x14ac:dyDescent="0.2">
      <c r="A98" t="s">
        <v>252</v>
      </c>
    </row>
    <row r="99" spans="1:1" x14ac:dyDescent="0.2">
      <c r="A99" t="s">
        <v>253</v>
      </c>
    </row>
    <row r="100" spans="1:1" x14ac:dyDescent="0.2">
      <c r="A100" t="s">
        <v>254</v>
      </c>
    </row>
    <row r="101" spans="1:1" x14ac:dyDescent="0.2">
      <c r="A101" t="s">
        <v>255</v>
      </c>
    </row>
    <row r="102" spans="1:1" x14ac:dyDescent="0.2">
      <c r="A102" t="s">
        <v>256</v>
      </c>
    </row>
    <row r="103" spans="1:1" x14ac:dyDescent="0.2">
      <c r="A103" t="s">
        <v>257</v>
      </c>
    </row>
    <row r="104" spans="1:1" x14ac:dyDescent="0.2">
      <c r="A104" t="s">
        <v>258</v>
      </c>
    </row>
    <row r="105" spans="1:1" x14ac:dyDescent="0.2">
      <c r="A105" t="s">
        <v>259</v>
      </c>
    </row>
    <row r="106" spans="1:1" x14ac:dyDescent="0.2">
      <c r="A106" t="s">
        <v>260</v>
      </c>
    </row>
    <row r="107" spans="1:1" x14ac:dyDescent="0.2">
      <c r="A107" t="s">
        <v>261</v>
      </c>
    </row>
    <row r="108" spans="1:1" x14ac:dyDescent="0.2">
      <c r="A108" t="s">
        <v>262</v>
      </c>
    </row>
    <row r="109" spans="1:1" x14ac:dyDescent="0.2">
      <c r="A109" t="s">
        <v>263</v>
      </c>
    </row>
    <row r="110" spans="1:1" x14ac:dyDescent="0.2">
      <c r="A110" t="s">
        <v>264</v>
      </c>
    </row>
    <row r="111" spans="1:1" x14ac:dyDescent="0.2">
      <c r="A111" t="s">
        <v>265</v>
      </c>
    </row>
    <row r="112" spans="1:1" x14ac:dyDescent="0.2">
      <c r="A112" t="s">
        <v>266</v>
      </c>
    </row>
    <row r="113" spans="1:1" x14ac:dyDescent="0.2">
      <c r="A113" t="s">
        <v>267</v>
      </c>
    </row>
    <row r="114" spans="1:1" x14ac:dyDescent="0.2">
      <c r="A114" t="s">
        <v>268</v>
      </c>
    </row>
    <row r="115" spans="1:1" x14ac:dyDescent="0.2">
      <c r="A115" t="s">
        <v>269</v>
      </c>
    </row>
    <row r="116" spans="1:1" x14ac:dyDescent="0.2">
      <c r="A116" t="s">
        <v>270</v>
      </c>
    </row>
    <row r="117" spans="1:1" x14ac:dyDescent="0.2">
      <c r="A117" t="s">
        <v>271</v>
      </c>
    </row>
    <row r="118" spans="1:1" x14ac:dyDescent="0.2">
      <c r="A118" t="s">
        <v>272</v>
      </c>
    </row>
    <row r="119" spans="1:1" x14ac:dyDescent="0.2">
      <c r="A119" t="s">
        <v>273</v>
      </c>
    </row>
    <row r="120" spans="1:1" x14ac:dyDescent="0.2">
      <c r="A120" t="s">
        <v>274</v>
      </c>
    </row>
    <row r="121" spans="1:1" x14ac:dyDescent="0.2">
      <c r="A121" t="s">
        <v>275</v>
      </c>
    </row>
    <row r="122" spans="1:1" x14ac:dyDescent="0.2">
      <c r="A122" t="s">
        <v>276</v>
      </c>
    </row>
    <row r="123" spans="1:1" x14ac:dyDescent="0.2">
      <c r="A123" t="s">
        <v>277</v>
      </c>
    </row>
    <row r="124" spans="1:1" x14ac:dyDescent="0.2">
      <c r="A124" t="s">
        <v>278</v>
      </c>
    </row>
    <row r="125" spans="1:1" x14ac:dyDescent="0.2">
      <c r="A125" t="s">
        <v>279</v>
      </c>
    </row>
    <row r="126" spans="1:1" x14ac:dyDescent="0.2">
      <c r="A126" t="s">
        <v>280</v>
      </c>
    </row>
    <row r="127" spans="1:1" x14ac:dyDescent="0.2">
      <c r="A127" t="s">
        <v>281</v>
      </c>
    </row>
    <row r="128" spans="1:1" x14ac:dyDescent="0.2">
      <c r="A128" t="s">
        <v>282</v>
      </c>
    </row>
    <row r="129" spans="1:1" x14ac:dyDescent="0.2">
      <c r="A129" t="s">
        <v>283</v>
      </c>
    </row>
    <row r="130" spans="1:1" x14ac:dyDescent="0.2">
      <c r="A130" t="s">
        <v>284</v>
      </c>
    </row>
    <row r="131" spans="1:1" x14ac:dyDescent="0.2">
      <c r="A131" t="s">
        <v>285</v>
      </c>
    </row>
    <row r="132" spans="1:1" x14ac:dyDescent="0.2">
      <c r="A132" t="s">
        <v>286</v>
      </c>
    </row>
    <row r="133" spans="1:1" x14ac:dyDescent="0.2">
      <c r="A133" t="s">
        <v>287</v>
      </c>
    </row>
    <row r="134" spans="1:1" x14ac:dyDescent="0.2">
      <c r="A134" t="s">
        <v>288</v>
      </c>
    </row>
    <row r="135" spans="1:1" x14ac:dyDescent="0.2">
      <c r="A135" t="s">
        <v>289</v>
      </c>
    </row>
    <row r="136" spans="1:1" x14ac:dyDescent="0.2">
      <c r="A136" t="s">
        <v>290</v>
      </c>
    </row>
    <row r="137" spans="1:1" x14ac:dyDescent="0.2">
      <c r="A137" t="s">
        <v>291</v>
      </c>
    </row>
    <row r="138" spans="1:1" x14ac:dyDescent="0.2">
      <c r="A138" t="s">
        <v>292</v>
      </c>
    </row>
    <row r="139" spans="1:1" x14ac:dyDescent="0.2">
      <c r="A139" t="s">
        <v>293</v>
      </c>
    </row>
    <row r="140" spans="1:1" x14ac:dyDescent="0.2">
      <c r="A140" t="s">
        <v>294</v>
      </c>
    </row>
    <row r="141" spans="1:1" x14ac:dyDescent="0.2">
      <c r="A141" t="s">
        <v>295</v>
      </c>
    </row>
    <row r="142" spans="1:1" x14ac:dyDescent="0.2">
      <c r="A142" t="s">
        <v>296</v>
      </c>
    </row>
    <row r="143" spans="1:1" x14ac:dyDescent="0.2">
      <c r="A143" t="s">
        <v>297</v>
      </c>
    </row>
    <row r="144" spans="1:1" x14ac:dyDescent="0.2">
      <c r="A144" t="s">
        <v>298</v>
      </c>
    </row>
    <row r="145" spans="1:1" x14ac:dyDescent="0.2">
      <c r="A145" t="s">
        <v>299</v>
      </c>
    </row>
    <row r="146" spans="1:1" x14ac:dyDescent="0.2">
      <c r="A146" t="s">
        <v>300</v>
      </c>
    </row>
    <row r="147" spans="1:1" x14ac:dyDescent="0.2">
      <c r="A147" t="s">
        <v>301</v>
      </c>
    </row>
    <row r="148" spans="1:1" x14ac:dyDescent="0.2">
      <c r="A148" t="s">
        <v>302</v>
      </c>
    </row>
    <row r="149" spans="1:1" x14ac:dyDescent="0.2">
      <c r="A149" t="s">
        <v>303</v>
      </c>
    </row>
    <row r="150" spans="1:1" x14ac:dyDescent="0.2">
      <c r="A150" t="s">
        <v>304</v>
      </c>
    </row>
    <row r="151" spans="1:1" x14ac:dyDescent="0.2">
      <c r="A151" t="s">
        <v>305</v>
      </c>
    </row>
    <row r="152" spans="1:1" x14ac:dyDescent="0.2">
      <c r="A152" t="s">
        <v>306</v>
      </c>
    </row>
    <row r="153" spans="1:1" x14ac:dyDescent="0.2">
      <c r="A15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Maquinas</vt:lpstr>
      <vt:lpstr>Solucion</vt:lpstr>
      <vt:lpstr>Hoja2</vt:lpstr>
      <vt:lpstr>Hoja1!input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Fatima Cebria Fernandez</dc:creator>
  <cp:lastModifiedBy>Maria Fatima Cebria Fernandez</cp:lastModifiedBy>
  <dcterms:created xsi:type="dcterms:W3CDTF">2025-12-10T15:21:09Z</dcterms:created>
  <dcterms:modified xsi:type="dcterms:W3CDTF">2025-12-12T10:38:32Z</dcterms:modified>
</cp:coreProperties>
</file>